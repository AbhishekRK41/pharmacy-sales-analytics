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FM Analysis" sheetId="2" state="visible" r:id="rId2"/>
    <sheet xmlns:r="http://schemas.openxmlformats.org/officeDocument/2006/relationships" name="ABC Analysis" sheetId="3" state="visible" r:id="rId3"/>
    <sheet xmlns:r="http://schemas.openxmlformats.org/officeDocument/2006/relationships" name="ABC-XYZ Analysis" sheetId="4" state="visible" r:id="rId4"/>
    <sheet xmlns:r="http://schemas.openxmlformats.org/officeDocument/2006/relationships" name="Market Basket Analysis" sheetId="5" state="visible" r:id="rId5"/>
    <sheet xmlns:r="http://schemas.openxmlformats.org/officeDocument/2006/relationships" name="Demand Forecast" sheetId="6" state="visible" r:id="rId6"/>
    <sheet xmlns:r="http://schemas.openxmlformats.org/officeDocument/2006/relationships" name="Safety Stock (AY Products)" sheetId="7" state="visible" r:id="rId7"/>
    <sheet xmlns:r="http://schemas.openxmlformats.org/officeDocument/2006/relationships" name="Descriptive Statistics" sheetId="8" state="visible" r:id="rId8"/>
    <sheet xmlns:r="http://schemas.openxmlformats.org/officeDocument/2006/relationships" name="Daily Demand Detail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\-mm\-dd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color rgb="FF7F6000"/>
      <sz val="9"/>
    </font>
    <font>
      <name val="Arial"/>
      <charset val="1"/>
      <family val="0"/>
      <b val="1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sz val="11"/>
    </font>
    <font>
      <name val="Arial"/>
      <i val="1"/>
      <color rgb="00595959"/>
      <sz val="10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9E8F5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8F5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2" fillId="0" borderId="0" pivotButton="0" quotePrefix="0" xfId="0"/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  <xf numFmtId="0" fontId="11" fillId="0" borderId="0" applyAlignment="1" pivotButton="0" quotePrefix="0" xfId="0">
      <alignment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3B3B3"/>
      <rgbColor rgb="FF808080"/>
      <rgbColor rgb="FF9999FF"/>
      <rgbColor rgb="FFC0504D"/>
      <rgbColor rgb="FFFFF2CC"/>
      <rgbColor rgb="FFDDEBF7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Customer Segment Distribution (RFM Analysis)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'RFM Analysis'!M2</f>
              <strCache>
                <ptCount val="1"/>
                <pt idx="0">
                  <v>Customers</v>
                </pt>
              </strCache>
            </strRef>
          </tx>
          <spPr>
            <a:solidFill xmlns:a="http://schemas.openxmlformats.org/drawingml/2006/main">
              <a:srgbClr val="87CEEB"/>
            </a:solidFill>
            <a:ln xmlns:a="http://schemas.openxmlformats.org/drawingml/2006/main"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'RFM Analysis'!$L$3:$L$6</f>
              <strCache>
                <ptCount val="4"/>
                <pt idx="0">
                  <v>High-Value Loyal</v>
                </pt>
                <pt idx="1">
                  <v>Steady/Regular</v>
                </pt>
                <pt idx="2">
                  <v>Occasional</v>
                </pt>
                <pt idx="3">
                  <v>At-Risk/Infrequent</v>
                </pt>
              </strCache>
            </strRef>
          </cat>
          <val>
            <numRef>
              <f>'RFM Analysis'!$M$3:$M$6</f>
              <numCache>
                <formatCode>General</formatCode>
                <ptCount val="4"/>
                <pt idx="0">
                  <v>213</v>
                </pt>
                <pt idx="1">
                  <v>309</v>
                </pt>
                <pt idx="2">
                  <v>194</v>
                </pt>
                <pt idx="3">
                  <v>104</v>
                </pt>
              </numCache>
            </numRef>
          </val>
        </ser>
        <gapWidth val="150"/>
        <overlap val="0"/>
        <axId val="10942126"/>
        <axId val="78457361"/>
      </barChart>
      <catAx>
        <axId val="10942126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8457361"/>
        <crosses val="autoZero"/>
        <auto val="1"/>
        <lblAlgn val="ctr"/>
        <lblOffset val="100"/>
        <noMultiLvlLbl val="0"/>
      </catAx>
      <valAx>
        <axId val="78457361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0942126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Contribution by Customer Segment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'RFM Analysis'!R2</f>
              <strCache>
                <ptCount val="1"/>
                <pt idx="0">
                  <v>Revenue Share</v>
                </pt>
              </strCache>
            </strRef>
          </tx>
          <spPr>
            <a:solidFill xmlns:a="http://schemas.openxmlformats.org/drawingml/2006/main">
              <a:srgbClr val="87CEEB"/>
            </a:solidFill>
            <a:ln xmlns:a="http://schemas.openxmlformats.org/drawingml/2006/main"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'RFM Analysis'!$L$3:$L$6</f>
              <strCache>
                <ptCount val="4"/>
                <pt idx="0">
                  <v>High-Value Loyal</v>
                </pt>
                <pt idx="1">
                  <v>Steady/Regular</v>
                </pt>
                <pt idx="2">
                  <v>Occasional</v>
                </pt>
                <pt idx="3">
                  <v>At-Risk/Infrequent</v>
                </pt>
              </strCache>
            </strRef>
          </cat>
          <val>
            <numRef>
              <f>'RFM Analysis'!$R$3:$R$6</f>
              <numCache>
                <formatCode>0.00%</formatCode>
                <ptCount val="4"/>
                <pt idx="0">
                  <v>0.408543631034729</v>
                </pt>
                <pt idx="1">
                  <v>0.368491629572249</v>
                </pt>
                <pt idx="2">
                  <v>0.159861649089877</v>
                </pt>
                <pt idx="3">
                  <v>0.06310309030314459</v>
                </pt>
              </numCache>
            </numRef>
          </val>
        </ser>
        <gapWidth val="150"/>
        <overlap val="0"/>
        <axId val="52606762"/>
        <axId val="53566918"/>
      </barChart>
      <catAx>
        <axId val="52606762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3566918"/>
        <crosses val="autoZero"/>
        <auto val="1"/>
        <lblAlgn val="ctr"/>
        <lblOffset val="100"/>
        <noMultiLvlLbl val="0"/>
      </catAx>
      <valAx>
        <axId val="53566918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Share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260676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ABC Analysis — Product Revenue (Pareto)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'ABC Analysis'!B2</f>
              <strCache>
                <ptCount val="1"/>
                <pt idx="0">
                  <v>Revenue (₹)</v>
                </pt>
              </strCache>
            </strRef>
          </tx>
          <spPr>
            <a:solidFill xmlns:a="http://schemas.openxmlformats.org/drawingml/2006/main">
              <a:srgbClr val="87CEEB"/>
            </a:solidFill>
            <a:ln xmlns:a="http://schemas.openxmlformats.org/drawingml/2006/main"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prstDash val="solid"/>
              </a:ln>
            </spPr>
          </dPt>
          <dPt>
            <idx val="18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prstDash val="solid"/>
              </a:ln>
            </spPr>
          </dPt>
          <dPt>
            <idx val="19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prstDash val="solid"/>
              </a:ln>
            </spPr>
          </dPt>
          <dPt>
            <idx val="2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prstDash val="solid"/>
              </a:ln>
            </spPr>
          </dPt>
          <dPt>
            <idx val="21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prstDash val="solid"/>
              </a:ln>
            </spPr>
          </dPt>
          <dPt>
            <idx val="2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prstDash val="solid"/>
              </a:ln>
            </spPr>
          </dPt>
          <dPt>
            <idx val="23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prstDash val="solid"/>
              </a:ln>
            </spPr>
          </dPt>
          <dPt>
            <idx val="24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prstDash val="solid"/>
              </a:ln>
            </spPr>
          </dPt>
          <dPt>
            <idx val="25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prstDash val="solid"/>
              </a:ln>
            </spPr>
          </dPt>
          <dPt>
            <idx val="26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prstDash val="solid"/>
              </a:ln>
            </spPr>
          </dPt>
          <dPt>
            <idx val="27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prstDash val="solid"/>
              </a:ln>
            </spPr>
          </dPt>
          <dPt>
            <idx val="28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29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3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31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3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33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34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35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36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37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38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39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'ABC Analysis'!$A$3:$A$42</f>
              <strCache>
                <ptCount val="40"/>
                <pt idx="0">
                  <v>Insulin Glargine</v>
                </pt>
                <pt idx="1">
                  <v>Salbutamol Inhaler</v>
                </pt>
                <pt idx="2">
                  <v>Atorvastatin 10mg</v>
                </pt>
                <pt idx="3">
                  <v>Vitamin D3 60K</v>
                </pt>
                <pt idx="4">
                  <v>Volini Spray 100g</v>
                </pt>
                <pt idx="5">
                  <v>Glimepiride 2mg</v>
                </pt>
                <pt idx="6">
                  <v>Amlodipine 5mg</v>
                </pt>
                <pt idx="7">
                  <v>Calcium + D3</v>
                </pt>
                <pt idx="8">
                  <v>Levothyroxine 50mcg</v>
                </pt>
                <pt idx="9">
                  <v>Montelukast 10mg</v>
                </pt>
                <pt idx="10">
                  <v>Metoprolol 50mg</v>
                </pt>
                <pt idx="11">
                  <v>Vitamin C 500mg</v>
                </pt>
                <pt idx="12">
                  <v>Metformin 500mg</v>
                </pt>
                <pt idx="13">
                  <v>Moxifloxacin Eye Drops</v>
                </pt>
                <pt idx="14">
                  <v>Clonazepam 0.5mg</v>
                </pt>
                <pt idx="15">
                  <v>Calamine Lotion</v>
                </pt>
                <pt idx="16">
                  <v>Azithromycin 250mg</v>
                </pt>
                <pt idx="17">
                  <v>Pantoprazole 40mg</v>
                </pt>
                <pt idx="18">
                  <v>Alprazolam 0.25mg</v>
                </pt>
                <pt idx="19">
                  <v>Iron + Folic Syrup</v>
                </pt>
                <pt idx="20">
                  <v>Betamethasone Cream</v>
                </pt>
                <pt idx="21">
                  <v>B-Complex Tablets</v>
                </pt>
                <pt idx="22">
                  <v>Dettol Antiseptic 100ml</v>
                </pt>
                <pt idx="23">
                  <v>Vicks VapoRub 25g</v>
                </pt>
                <pt idx="24">
                  <v>Omeprazole 20mg</v>
                </pt>
                <pt idx="25">
                  <v>Digene Syrup</v>
                </pt>
                <pt idx="26">
                  <v>Ciprofloxacin Eye Drops</v>
                </pt>
                <pt idx="27">
                  <v>Amoxicillin 500mg</v>
                </pt>
                <pt idx="28">
                  <v>Clotrimazole Cream</v>
                </pt>
                <pt idx="29">
                  <v>Levocetrizine 5mg</v>
                </pt>
                <pt idx="30">
                  <v>Band-Aid Pack</v>
                </pt>
                <pt idx="31">
                  <v>Cetirizine Syrup</v>
                </pt>
                <pt idx="32">
                  <v>Ranitidine 150mg</v>
                </pt>
                <pt idx="33">
                  <v>Paracetamol Syrup</v>
                </pt>
                <pt idx="34">
                  <v>Diclofenac 50mg</v>
                </pt>
                <pt idx="35">
                  <v>Ibuprofen 400mg</v>
                </pt>
                <pt idx="36">
                  <v>Cetirizine 10mg</v>
                </pt>
                <pt idx="37">
                  <v>Folic Acid 5mg</v>
                </pt>
                <pt idx="38">
                  <v>Paracetamol 500mg</v>
                </pt>
                <pt idx="39">
                  <v>ORS Sachet</v>
                </pt>
              </strCache>
            </strRef>
          </cat>
          <val>
            <numRef>
              <f>'ABC Analysis'!$B$3:$B$42</f>
              <numCache>
                <formatCode>#,##0.00</formatCode>
                <ptCount val="40"/>
                <pt idx="0">
                  <v>2351440</v>
                </pt>
                <pt idx="1">
                  <v>590009.28</v>
                </pt>
                <pt idx="2">
                  <v>497183.4</v>
                </pt>
                <pt idx="3">
                  <v>421835.84</v>
                </pt>
                <pt idx="4">
                  <v>284619.99</v>
                </pt>
                <pt idx="5">
                  <v>276560.2</v>
                </pt>
                <pt idx="6">
                  <v>262251.36</v>
                </pt>
                <pt idx="7">
                  <v>262144.08</v>
                </pt>
                <pt idx="8">
                  <v>257690.16</v>
                </pt>
                <pt idx="9">
                  <v>235000.92</v>
                </pt>
                <pt idx="10">
                  <v>224967.12</v>
                </pt>
                <pt idx="11">
                  <v>195151.35</v>
                </pt>
                <pt idx="12">
                  <v>190699.6</v>
                </pt>
                <pt idx="13">
                  <v>188440.84</v>
                </pt>
                <pt idx="14">
                  <v>185312.4</v>
                </pt>
                <pt idx="15">
                  <v>173155.56</v>
                </pt>
                <pt idx="16">
                  <v>173127.36</v>
                </pt>
                <pt idx="17">
                  <v>169477.28</v>
                </pt>
                <pt idx="18">
                  <v>154791.56</v>
                </pt>
                <pt idx="19">
                  <v>142723.28</v>
                </pt>
                <pt idx="20">
                  <v>141907.47</v>
                </pt>
                <pt idx="21">
                  <v>139530.91</v>
                </pt>
                <pt idx="22">
                  <v>135411.35</v>
                </pt>
                <pt idx="23">
                  <v>134088.52</v>
                </pt>
                <pt idx="24">
                  <v>132963.6</v>
                </pt>
                <pt idx="25">
                  <v>112150.36</v>
                </pt>
                <pt idx="26">
                  <v>111688.64</v>
                </pt>
                <pt idx="27">
                  <v>110046.44</v>
                </pt>
                <pt idx="28">
                  <v>108416.56</v>
                </pt>
                <pt idx="29">
                  <v>107212</v>
                </pt>
                <pt idx="30">
                  <v>105951.95</v>
                </pt>
                <pt idx="31">
                  <v>105481.6</v>
                </pt>
                <pt idx="32">
                  <v>101900.4</v>
                </pt>
                <pt idx="33">
                  <v>88652.2</v>
                </pt>
                <pt idx="34">
                  <v>74958.24000000001</v>
                </pt>
                <pt idx="35">
                  <v>71683.92</v>
                </pt>
                <pt idx="36">
                  <v>67939.2</v>
                </pt>
                <pt idx="37">
                  <v>59172.12</v>
                </pt>
                <pt idx="38">
                  <v>29510.6</v>
                </pt>
                <pt idx="39">
                  <v>20039.88</v>
                </pt>
              </numCache>
            </numRef>
          </val>
        </ser>
        <gapWidth val="20"/>
        <overlap val="0"/>
        <axId val="84905206"/>
        <axId val="43108653"/>
      </barChart>
      <lineChart>
        <grouping val="standard"/>
        <varyColors val="0"/>
        <ser>
          <idx val="1"/>
          <order val="1"/>
          <tx>
            <strRef>
              <f>'ABC Analysis'!D2</f>
              <strCache>
                <ptCount val="1"/>
                <pt idx="0">
                  <v>Cumulative %</v>
                </pt>
              </strCache>
            </strRef>
          </tx>
          <spPr>
            <a:ln xmlns:a="http://schemas.openxmlformats.org/drawingml/2006/main" w="15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'ABC Analysis'!$A$3:$A$42</f>
              <strCache>
                <ptCount val="40"/>
                <pt idx="0">
                  <v>Insulin Glargine</v>
                </pt>
                <pt idx="1">
                  <v>Salbutamol Inhaler</v>
                </pt>
                <pt idx="2">
                  <v>Atorvastatin 10mg</v>
                </pt>
                <pt idx="3">
                  <v>Vitamin D3 60K</v>
                </pt>
                <pt idx="4">
                  <v>Volini Spray 100g</v>
                </pt>
                <pt idx="5">
                  <v>Glimepiride 2mg</v>
                </pt>
                <pt idx="6">
                  <v>Amlodipine 5mg</v>
                </pt>
                <pt idx="7">
                  <v>Calcium + D3</v>
                </pt>
                <pt idx="8">
                  <v>Levothyroxine 50mcg</v>
                </pt>
                <pt idx="9">
                  <v>Montelukast 10mg</v>
                </pt>
                <pt idx="10">
                  <v>Metoprolol 50mg</v>
                </pt>
                <pt idx="11">
                  <v>Vitamin C 500mg</v>
                </pt>
                <pt idx="12">
                  <v>Metformin 500mg</v>
                </pt>
                <pt idx="13">
                  <v>Moxifloxacin Eye Drops</v>
                </pt>
                <pt idx="14">
                  <v>Clonazepam 0.5mg</v>
                </pt>
                <pt idx="15">
                  <v>Calamine Lotion</v>
                </pt>
                <pt idx="16">
                  <v>Azithromycin 250mg</v>
                </pt>
                <pt idx="17">
                  <v>Pantoprazole 40mg</v>
                </pt>
                <pt idx="18">
                  <v>Alprazolam 0.25mg</v>
                </pt>
                <pt idx="19">
                  <v>Iron + Folic Syrup</v>
                </pt>
                <pt idx="20">
                  <v>Betamethasone Cream</v>
                </pt>
                <pt idx="21">
                  <v>B-Complex Tablets</v>
                </pt>
                <pt idx="22">
                  <v>Dettol Antiseptic 100ml</v>
                </pt>
                <pt idx="23">
                  <v>Vicks VapoRub 25g</v>
                </pt>
                <pt idx="24">
                  <v>Omeprazole 20mg</v>
                </pt>
                <pt idx="25">
                  <v>Digene Syrup</v>
                </pt>
                <pt idx="26">
                  <v>Ciprofloxacin Eye Drops</v>
                </pt>
                <pt idx="27">
                  <v>Amoxicillin 500mg</v>
                </pt>
                <pt idx="28">
                  <v>Clotrimazole Cream</v>
                </pt>
                <pt idx="29">
                  <v>Levocetrizine 5mg</v>
                </pt>
                <pt idx="30">
                  <v>Band-Aid Pack</v>
                </pt>
                <pt idx="31">
                  <v>Cetirizine Syrup</v>
                </pt>
                <pt idx="32">
                  <v>Ranitidine 150mg</v>
                </pt>
                <pt idx="33">
                  <v>Paracetamol Syrup</v>
                </pt>
                <pt idx="34">
                  <v>Diclofenac 50mg</v>
                </pt>
                <pt idx="35">
                  <v>Ibuprofen 400mg</v>
                </pt>
                <pt idx="36">
                  <v>Cetirizine 10mg</v>
                </pt>
                <pt idx="37">
                  <v>Folic Acid 5mg</v>
                </pt>
                <pt idx="38">
                  <v>Paracetamol 500mg</v>
                </pt>
                <pt idx="39">
                  <v>ORS Sachet</v>
                </pt>
              </strCache>
            </strRef>
          </cat>
          <val>
            <numRef>
              <f>'ABC Analysis'!$D$3:$D$42</f>
              <numCache>
                <formatCode>0.00%</formatCode>
                <ptCount val="40"/>
                <pt idx="0">
                  <v>0.25572229142059</v>
                </pt>
                <pt idx="1">
                  <v>0.319886601392783</v>
                </pt>
                <pt idx="2">
                  <v>0.373955970929866</v>
                </pt>
                <pt idx="3">
                  <v>0.41983119105376</v>
                </pt>
                <pt idx="4">
                  <v>0.450784001258105</v>
                </pt>
                <pt idx="5">
                  <v>0.480860298361045</v>
                </pt>
                <pt idx="6">
                  <v>0.5093804896937461</v>
                </pt>
                <pt idx="7">
                  <v>0.537889014180844</v>
                </pt>
                <pt idx="8">
                  <v>0.565913168822995</v>
                </pt>
                <pt idx="9">
                  <v>0.591469837820863</v>
                </pt>
                <pt idx="10">
                  <v>0.61593531745066</v>
                </pt>
                <pt idx="11">
                  <v>0.637158291626408</v>
                </pt>
                <pt idx="12">
                  <v>0.657897131947654</v>
                </pt>
                <pt idx="13">
                  <v>0.678390329053266</v>
                </pt>
                <pt idx="14">
                  <v>0.698543304062898</v>
                </pt>
                <pt idx="15">
                  <v>0.7173742062230281</v>
                </pt>
                <pt idx="16">
                  <v>0.736202041594884</v>
                </pt>
                <pt idx="17">
                  <v>0.75463292581278</v>
                </pt>
                <pt idx="18">
                  <v>0.771466718048928</v>
                </pt>
                <pt idx="19">
                  <v>0.786988068455769</v>
                </pt>
                <pt idx="20">
                  <v>0.802420698417877</v>
                </pt>
                <pt idx="21">
                  <v>0.817594874254471</v>
                </pt>
                <pt idx="22">
                  <v>0.832321042349916</v>
                </pt>
                <pt idx="23">
                  <v>0.846903350887492</v>
                </pt>
                <pt idx="24">
                  <v>0.861363322848303</v>
                </pt>
                <pt idx="25">
                  <v>0.873559826710976</v>
                </pt>
                <pt idx="26">
                  <v>0.885706117896994</v>
                </pt>
                <pt idx="27">
                  <v>0.897673817604185</v>
                </pt>
                <pt idx="28">
                  <v>0.909464265649272</v>
                </pt>
                <pt idx="29">
                  <v>0.9211237161595059</v>
                </pt>
                <pt idx="30">
                  <v>0.932646134522075</v>
                </pt>
                <pt idx="31">
                  <v>0.944117401683776</v>
                </pt>
                <pt idx="32">
                  <v>0.9551992084850019</v>
                </pt>
                <pt idx="33">
                  <v>0.96484025555551</v>
                </pt>
                <pt idx="34">
                  <v>0.972992065890307</v>
                </pt>
                <pt idx="35">
                  <v>0.980787789481132</v>
                </pt>
                <pt idx="36">
                  <v>0.98817626968955</v>
                </pt>
                <pt idx="37">
                  <v>0.994611318049114</v>
                </pt>
                <pt idx="38">
                  <v>0.997820635851481</v>
                </pt>
                <pt idx="39">
                  <v>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496985"/>
        <axId val="4483248"/>
      </lineChart>
      <catAx>
        <axId val="84905206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Products (ranked by revenue)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3108653"/>
        <crosses val="autoZero"/>
        <auto val="1"/>
        <lblAlgn val="ctr"/>
        <lblOffset val="100"/>
        <noMultiLvlLbl val="0"/>
      </catAx>
      <valAx>
        <axId val="43108653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.0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4905206"/>
        <crosses val="autoZero"/>
        <crossBetween val="between"/>
      </valAx>
      <catAx>
        <axId val="46496985"/>
        <scaling>
          <orientation val="minMax"/>
        </scaling>
        <delete val="0"/>
        <axPos val="t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Products (ranked by revenue)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483248"/>
        <crosses val="autoZero"/>
        <auto val="1"/>
        <lblAlgn val="ctr"/>
        <lblOffset val="100"/>
        <noMultiLvlLbl val="0"/>
      </catAx>
      <valAx>
        <axId val="4483248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496985"/>
        <crosses val="max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ABC Classification: Products vs Revenue Share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'ABC Analysis'!I2</f>
              <strCache>
                <ptCount val="1"/>
                <pt idx="0">
                  <v>% of Products</v>
                </pt>
              </strCache>
            </strRef>
          </tx>
          <spPr>
            <a:solidFill xmlns:a="http://schemas.openxmlformats.org/drawingml/2006/main">
              <a:srgbClr val="87CEEB"/>
            </a:solidFill>
            <a:ln xmlns:a="http://schemas.openxmlformats.org/drawingml/2006/main"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'ABC Analysis'!$G$3:$G$5</f>
              <strCache>
                <ptCount val="3"/>
                <pt idx="0">
                  <v>A</v>
                </pt>
                <pt idx="1">
                  <v>B</v>
                </pt>
                <pt idx="2">
                  <v>C</v>
                </pt>
              </strCache>
            </strRef>
          </cat>
          <val>
            <numRef>
              <f>'ABC Analysis'!$I$3:$I$5</f>
              <numCache>
                <formatCode>0.0%</formatCode>
                <ptCount val="3"/>
                <pt idx="0">
                  <v>0.375</v>
                </pt>
                <pt idx="1">
                  <v>0.325</v>
                </pt>
                <pt idx="2">
                  <v>0.3</v>
                </pt>
              </numCache>
            </numRef>
          </val>
        </ser>
        <ser>
          <idx val="1"/>
          <order val="1"/>
          <tx>
            <strRef>
              <f>'ABC Analysis'!K2</f>
              <strCache>
                <ptCount val="1"/>
                <pt idx="0">
                  <v>% of Revenue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'ABC Analysis'!$G$3:$G$5</f>
              <strCache>
                <ptCount val="3"/>
                <pt idx="0">
                  <v>A</v>
                </pt>
                <pt idx="1">
                  <v>B</v>
                </pt>
                <pt idx="2">
                  <v>C</v>
                </pt>
              </strCache>
            </strRef>
          </cat>
          <val>
            <numRef>
              <f>'ABC Analysis'!$K$3:$K$5</f>
              <numCache>
                <formatCode>0.00%</formatCode>
                <ptCount val="3"/>
                <pt idx="0">
                  <v>0.698543304062898</v>
                </pt>
                <pt idx="1">
                  <v>0.199130513541287</v>
                </pt>
                <pt idx="2">
                  <v>0.102326182395814</v>
                </pt>
              </numCache>
            </numRef>
          </val>
        </ser>
        <gapWidth val="150"/>
        <overlap val="0"/>
        <axId val="56222685"/>
        <axId val="40767796"/>
      </barChart>
      <catAx>
        <axId val="5622268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0767796"/>
        <crosses val="autoZero"/>
        <auto val="1"/>
        <lblAlgn val="ctr"/>
        <lblOffset val="100"/>
        <noMultiLvlLbl val="0"/>
      </catAx>
      <valAx>
        <axId val="40767796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0.0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622268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ABC-XYZ Combined Classification: Revenue Share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'ABC-XYZ Analysis'!S2</f>
              <strCache>
                <ptCount val="1"/>
                <pt idx="0">
                  <v>Revenue Share</v>
                </pt>
              </strCache>
            </strRef>
          </tx>
          <spPr>
            <a:solidFill xmlns:a="http://schemas.openxmlformats.org/drawingml/2006/main">
              <a:srgbClr val="87CEEB"/>
            </a:solidFill>
            <a:ln xmlns:a="http://schemas.openxmlformats.org/drawingml/2006/main"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'ABC-XYZ Analysis'!$P$3:$P$11</f>
              <strCache>
                <ptCount val="9"/>
                <pt idx="0">
                  <v>AX</v>
                </pt>
                <pt idx="1">
                  <v>AY</v>
                </pt>
                <pt idx="2">
                  <v>AZ</v>
                </pt>
                <pt idx="3">
                  <v>BX</v>
                </pt>
                <pt idx="4">
                  <v>BY</v>
                </pt>
                <pt idx="5">
                  <v>BZ</v>
                </pt>
                <pt idx="6">
                  <v>CX</v>
                </pt>
                <pt idx="7">
                  <v>CY</v>
                </pt>
                <pt idx="8">
                  <v>CZ</v>
                </pt>
              </strCache>
            </strRef>
          </cat>
          <val>
            <numRef>
              <f>'ABC-XYZ Analysis'!$S$3:$S$11</f>
              <numCache>
                <formatCode>0.00%</formatCode>
                <ptCount val="9"/>
                <pt idx="0">
                  <v>0.5034857702775</v>
                </pt>
                <pt idx="1">
                  <v>0.195057533785398</v>
                </pt>
                <pt idx="2">
                  <v>0</v>
                </pt>
                <pt idx="3">
                  <v>0.1308649702106</v>
                </pt>
                <pt idx="4">
                  <v>0.06826554333068741</v>
                </pt>
                <pt idx="5">
                  <v>0</v>
                </pt>
                <pt idx="6">
                  <v>0.0490114950771838</v>
                </pt>
                <pt idx="7">
                  <v>0.0533146873186306</v>
                </pt>
                <pt idx="8">
                  <v>0</v>
                </pt>
              </numCache>
            </numRef>
          </val>
        </ser>
        <gapWidth val="150"/>
        <overlap val="0"/>
        <axId val="57505188"/>
        <axId val="69132227"/>
      </barChart>
      <catAx>
        <axId val="5750518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ABC-XYZ Class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132227"/>
        <crosses val="autoZero"/>
        <auto val="1"/>
        <lblAlgn val="ctr"/>
        <lblOffset val="100"/>
        <noMultiLvlLbl val="0"/>
      </catAx>
      <valAx>
        <axId val="69132227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Share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750518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Product Association Rules (by Lift)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'Market Basket Analysis'!K2</f>
              <strCache>
                <ptCount val="1"/>
                <pt idx="0">
                  <v>Lift</v>
                </pt>
              </strCache>
            </strRef>
          </tx>
          <spPr>
            <a:solidFill xmlns:a="http://schemas.openxmlformats.org/drawingml/2006/main">
              <a:srgbClr val="87CEEB"/>
            </a:solidFill>
            <a:ln xmlns:a="http://schemas.openxmlformats.org/drawingml/2006/main"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'Market Basket Analysis'!$M$3:$M$10</f>
              <strCache>
                <ptCount val="8"/>
                <pt idx="0">
                  <v>Clonazepam 0.5mg + Amlodipine 5mg</v>
                </pt>
                <pt idx="1">
                  <v>Alprazolam 0.25mg + Amlodipine 5mg</v>
                </pt>
                <pt idx="2">
                  <v>Clonazepam 0.5mg + Alprazolam 0.25mg</v>
                </pt>
                <pt idx="3">
                  <v>Clonazepam 0.5mg + Glimepiride 2mg</v>
                </pt>
                <pt idx="4">
                  <v>Atorvastatin 10mg + Metoprolol 50mg</v>
                </pt>
                <pt idx="5">
                  <v>Levothyroxine 50mcg + Atorvastatin 10mg</v>
                </pt>
                <pt idx="6">
                  <v>Glimepiride 2mg + Metformin 500mg</v>
                </pt>
                <pt idx="7">
                  <v>Atorvastatin 10mg + Glimepiride 2mg</v>
                </pt>
              </strCache>
            </strRef>
          </cat>
          <val>
            <numRef>
              <f>'Market Basket Analysis'!$K$3:$K$10</f>
              <numCache>
                <formatCode>0.00</formatCode>
                <ptCount val="8"/>
                <pt idx="0">
                  <v>1.57000690691332</v>
                </pt>
                <pt idx="1">
                  <v>1.52817304423781</v>
                </pt>
                <pt idx="2">
                  <v>1.50285420090133</v>
                </pt>
                <pt idx="3">
                  <v>1.45936883629191</v>
                </pt>
                <pt idx="4">
                  <v>1.44824130879346</v>
                </pt>
                <pt idx="5">
                  <v>1.43206451612903</v>
                </pt>
                <pt idx="6">
                  <v>1.42923677884615</v>
                </pt>
                <pt idx="7">
                  <v>1.415625</v>
                </pt>
              </numCache>
            </numRef>
          </val>
        </ser>
        <gapWidth val="150"/>
        <overlap val="0"/>
        <axId val="46222071"/>
        <axId val="88710010"/>
      </barChart>
      <catAx>
        <axId val="46222071"/>
        <scaling>
          <orientation val="minMax"/>
        </scaling>
        <delete val="0"/>
        <axPos val="b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Lift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8710010"/>
        <crosses val="autoZero"/>
        <auto val="1"/>
        <lblAlgn val="ctr"/>
        <lblOffset val="100"/>
        <noMultiLvlLbl val="0"/>
      </catAx>
      <valAx>
        <axId val="88710010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0.0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22207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Revenue: Actual vs Trend Fit (trained Jan-May)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'Demand Forecast'!C2</f>
              <strCache>
                <ptCount val="1"/>
                <pt idx="0">
                  <v>Revenue (₹)</v>
                </pt>
              </strCache>
            </strRef>
          </tx>
          <spPr>
            <a:ln xmlns:a="http://schemas.openxmlformats.org/drawingml/2006/main" w="20000">
              <a:solidFill>
                <a:srgbClr val="87CEEB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87CEEB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'Demand Forecast'!$A$3:$A$8</f>
              <strCache>
                <ptCount val="6"/>
                <pt idx="0">
                  <v>Jan-24</v>
                </pt>
                <pt idx="1">
                  <v>Feb-24</v>
                </pt>
                <pt idx="2">
                  <v>Mar-24</v>
                </pt>
                <pt idx="3">
                  <v>Apr-24</v>
                </pt>
                <pt idx="4">
                  <v>May-24</v>
                </pt>
                <pt idx="5">
                  <v>Jun-24</v>
                </pt>
              </strCache>
            </strRef>
          </cat>
          <val>
            <numRef>
              <f>'Demand Forecast'!$C$3:$C$8</f>
              <numCache>
                <formatCode>#,##0.00</formatCode>
                <ptCount val="6"/>
                <pt idx="0">
                  <v>1543743.54</v>
                </pt>
                <pt idx="1">
                  <v>1475679.73</v>
                </pt>
                <pt idx="2">
                  <v>1611921.74</v>
                </pt>
                <pt idx="3">
                  <v>1469148.8</v>
                </pt>
                <pt idx="4">
                  <v>1524644.45</v>
                </pt>
                <pt idx="5">
                  <v>1570149.28</v>
                </pt>
              </numCache>
            </numRef>
          </val>
          <smooth val="0"/>
        </ser>
        <ser>
          <idx val="1"/>
          <order val="1"/>
          <tx>
            <strRef>
              <f>'Demand Forecast'!D2</f>
              <strCache>
                <ptCount val="1"/>
                <pt idx="0">
                  <v>Trend Fit (trained Jan-May)</v>
                </pt>
              </strCache>
            </strRef>
          </tx>
          <spPr>
            <a:ln xmlns:a="http://schemas.openxmlformats.org/drawingml/2006/main" w="20000">
              <a:solidFill>
                <a:srgbClr val="FF0000"/>
              </a:solidFill>
              <a:prstDash val="dash"/>
            </a:ln>
          </spPr>
          <marker>
            <symbol val="square"/>
            <size val="7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'Demand Forecast'!$A$3:$A$8</f>
              <strCache>
                <ptCount val="6"/>
                <pt idx="0">
                  <v>Jan-24</v>
                </pt>
                <pt idx="1">
                  <v>Feb-24</v>
                </pt>
                <pt idx="2">
                  <v>Mar-24</v>
                </pt>
                <pt idx="3">
                  <v>Apr-24</v>
                </pt>
                <pt idx="4">
                  <v>May-24</v>
                </pt>
                <pt idx="5">
                  <v>Jun-24</v>
                </pt>
              </strCache>
            </strRef>
          </cat>
          <val>
            <numRef>
              <f>'Demand Forecast'!$D$3:$D$8</f>
              <numCache>
                <formatCode>#,##0.00</formatCode>
                <ptCount val="6"/>
                <pt idx="0">
                  <v>1533973.474</v>
                </pt>
                <pt idx="1">
                  <v>1529500.563</v>
                </pt>
                <pt idx="2">
                  <v>1525027.652</v>
                </pt>
                <pt idx="3">
                  <v>1520554.741</v>
                </pt>
                <pt idx="4">
                  <v>1516081.83</v>
                </pt>
                <pt idx="5">
                  <v>1511608.919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87588427"/>
        <axId val="77195074"/>
      </lineChart>
      <catAx>
        <axId val="87588427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7195074"/>
        <crosses val="autoZero"/>
        <auto val="1"/>
        <lblAlgn val="ctr"/>
        <lblOffset val="100"/>
        <noMultiLvlLbl val="0"/>
      </catAx>
      <valAx>
        <axId val="77195074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.0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758842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with July 2024 Forecast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'Demand Forecast'!B24</f>
              <strCache>
                <ptCount val="1"/>
                <pt idx="0">
                  <v>Actual Revenue (₹)</v>
                </pt>
              </strCache>
            </strRef>
          </tx>
          <spPr>
            <a:solidFill xmlns:a="http://schemas.openxmlformats.org/drawingml/2006/main">
              <a:srgbClr val="87CEEB"/>
            </a:solidFill>
            <a:ln xmlns:a="http://schemas.openxmlformats.org/drawingml/2006/main"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'Demand Forecast'!$A$25:$A$31</f>
              <strCache>
                <ptCount val="7"/>
                <pt idx="0">
                  <v>Jan-24</v>
                </pt>
                <pt idx="1">
                  <v>Feb-24</v>
                </pt>
                <pt idx="2">
                  <v>Mar-24</v>
                </pt>
                <pt idx="3">
                  <v>Apr-24</v>
                </pt>
                <pt idx="4">
                  <v>May-24</v>
                </pt>
                <pt idx="5">
                  <v>Jun-24</v>
                </pt>
                <pt idx="6">
                  <v>Jul-24 (F)</v>
                </pt>
              </strCache>
            </strRef>
          </cat>
          <val>
            <numRef>
              <f>'Demand Forecast'!$B$25:$B$31</f>
              <numCache>
                <formatCode>#,##0.00</formatCode>
                <ptCount val="7"/>
                <pt idx="0">
                  <v>1543743.54</v>
                </pt>
                <pt idx="1">
                  <v>1475679.73</v>
                </pt>
                <pt idx="2">
                  <v>1611921.74</v>
                </pt>
                <pt idx="3">
                  <v>1469148.8</v>
                </pt>
                <pt idx="4">
                  <v>1524644.45</v>
                </pt>
                <pt idx="5">
                  <v>1570149.28</v>
                </pt>
              </numCache>
            </numRef>
          </val>
        </ser>
        <ser>
          <idx val="1"/>
          <order val="1"/>
          <tx>
            <strRef>
              <f>'Demand Forecast'!C24</f>
              <strCache>
                <ptCount val="1"/>
                <pt idx="0">
                  <v>Forecast Revenue (₹)</v>
                </pt>
              </strCache>
            </strRef>
          </tx>
          <spPr>
            <a:solidFill xmlns:a="http://schemas.openxmlformats.org/drawingml/2006/main">
              <a:srgbClr val="FFA500"/>
            </a:solidFill>
            <a:ln xmlns:a="http://schemas.openxmlformats.org/drawingml/2006/main"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'Demand Forecast'!$A$25:$A$31</f>
              <strCache>
                <ptCount val="7"/>
                <pt idx="0">
                  <v>Jan-24</v>
                </pt>
                <pt idx="1">
                  <v>Feb-24</v>
                </pt>
                <pt idx="2">
                  <v>Mar-24</v>
                </pt>
                <pt idx="3">
                  <v>Apr-24</v>
                </pt>
                <pt idx="4">
                  <v>May-24</v>
                </pt>
                <pt idx="5">
                  <v>Jun-24</v>
                </pt>
                <pt idx="6">
                  <v>Jul-24 (F)</v>
                </pt>
              </strCache>
            </strRef>
          </cat>
          <val>
            <numRef>
              <f>'Demand Forecast'!$C$25:$C$31</f>
              <numCache>
                <formatCode>#,##0.00</formatCode>
                <ptCount val="7"/>
                <pt idx="6">
                  <v>1546162.91533333</v>
                </pt>
              </numCache>
            </numRef>
          </val>
        </ser>
        <gapWidth val="150"/>
        <overlap val="0"/>
        <axId val="86771261"/>
        <axId val="50273910"/>
      </barChart>
      <catAx>
        <axId val="8677126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273910"/>
        <crosses val="autoZero"/>
        <auto val="1"/>
        <lblAlgn val="ctr"/>
        <lblOffset val="100"/>
        <noMultiLvlLbl val="0"/>
      </catAx>
      <valAx>
        <axId val="50273910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.0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677126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Reorder Point by AY Product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'Safety Stock (AY Products)'!G2</f>
              <strCache>
                <ptCount val="1"/>
                <pt idx="0">
                  <v>Safety Stock (units)</v>
                </pt>
              </strCache>
            </strRef>
          </tx>
          <spPr>
            <a:solidFill xmlns:a="http://schemas.openxmlformats.org/drawingml/2006/main">
              <a:srgbClr val="87CEEB"/>
            </a:solidFill>
            <a:ln xmlns:a="http://schemas.openxmlformats.org/drawingml/2006/main"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'Safety Stock (AY Products)'!$A$3:$A$7</f>
              <strCache>
                <ptCount val="5"/>
                <pt idx="0">
                  <v>Salbutamol Inhaler</v>
                </pt>
                <pt idx="1">
                  <v>Vitamin D3 60K</v>
                </pt>
                <pt idx="2">
                  <v>Volini Spray 100g</v>
                </pt>
                <pt idx="3">
                  <v>Montelukast 10mg</v>
                </pt>
                <pt idx="4">
                  <v>Calcium + D3</v>
                </pt>
              </strCache>
            </strRef>
          </cat>
          <val>
            <numRef>
              <f>'Safety Stock (AY Products)'!$G$3:$G$7</f>
              <numCache>
                <formatCode>General</formatCode>
                <ptCount val="5"/>
                <pt idx="0">
                  <v>19</v>
                </pt>
                <pt idx="1">
                  <v>15</v>
                </pt>
                <pt idx="2">
                  <v>19</v>
                </pt>
                <pt idx="3">
                  <v>16</v>
                </pt>
                <pt idx="4">
                  <v>16</v>
                </pt>
              </numCache>
            </numRef>
          </val>
        </ser>
        <ser>
          <idx val="1"/>
          <order val="1"/>
          <tx>
            <strRef>
              <f>'Safety Stock (AY Products)'!H2</f>
              <strCache>
                <ptCount val="1"/>
                <pt idx="0">
                  <v>Reorder Point (units)</v>
                </pt>
              </strCache>
            </strRef>
          </tx>
          <spPr>
            <a:solidFill xmlns:a="http://schemas.openxmlformats.org/drawingml/2006/main">
              <a:srgbClr val="FFA500"/>
            </a:solidFill>
            <a:ln xmlns:a="http://schemas.openxmlformats.org/drawingml/2006/main"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'Safety Stock (AY Products)'!$A$3:$A$7</f>
              <strCache>
                <ptCount val="5"/>
                <pt idx="0">
                  <v>Salbutamol Inhaler</v>
                </pt>
                <pt idx="1">
                  <v>Vitamin D3 60K</v>
                </pt>
                <pt idx="2">
                  <v>Volini Spray 100g</v>
                </pt>
                <pt idx="3">
                  <v>Montelukast 10mg</v>
                </pt>
                <pt idx="4">
                  <v>Calcium + D3</v>
                </pt>
              </strCache>
            </strRef>
          </cat>
          <val>
            <numRef>
              <f>'Safety Stock (AY Products)'!$H$3:$H$7</f>
              <numCache>
                <formatCode>General</formatCode>
                <ptCount val="5"/>
                <pt idx="0">
                  <v>43</v>
                </pt>
                <pt idx="1">
                  <v>34</v>
                </pt>
                <pt idx="2">
                  <v>41</v>
                </pt>
                <pt idx="3">
                  <v>38</v>
                </pt>
                <pt idx="4">
                  <v>37</v>
                </pt>
              </numCache>
            </numRef>
          </val>
        </ser>
        <gapWidth val="150"/>
        <overlap val="0"/>
        <axId val="8602771"/>
        <axId val="4614038"/>
      </barChart>
      <catAx>
        <axId val="860277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14038"/>
        <crosses val="autoZero"/>
        <auto val="1"/>
        <lblAlgn val="ctr"/>
        <lblOffset val="100"/>
        <noMultiLvlLbl val="0"/>
      </catAx>
      <valAx>
        <axId val="4614038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60277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twoCellAnchor editAs="oneCell">
    <from>
      <col>11</col>
      <colOff>0</colOff>
      <row>8</row>
      <rowOff>0</rowOff>
    </from>
    <to>
      <col>16</col>
      <colOff>111600</colOff>
      <row>24</row>
      <rowOff>190080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11</col>
      <colOff>0</colOff>
      <row>26</row>
      <rowOff>0</rowOff>
    </from>
    <to>
      <col>16</col>
      <colOff>111600</colOff>
      <row>42</row>
      <rowOff>190080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44</row>
      <rowOff>0</rowOff>
    </from>
    <to>
      <col>6</col>
      <colOff>258120</colOff>
      <row>64</row>
      <rowOff>147960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0</colOff>
      <row>8</row>
      <rowOff>0</rowOff>
    </from>
    <to>
      <col>11</col>
      <colOff>111960</colOff>
      <row>24</row>
      <rowOff>190080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15</col>
      <colOff>0</colOff>
      <row>13</row>
      <rowOff>0</rowOff>
    </from>
    <to>
      <col>21</col>
      <colOff>306360</colOff>
      <row>29</row>
      <rowOff>190080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12</row>
      <rowOff>0</rowOff>
    </from>
    <to>
      <col>5</col>
      <colOff>487080</colOff>
      <row>30</row>
      <rowOff>169200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 editAs="oneCell">
    <from>
      <col>5</col>
      <colOff>0</colOff>
      <row>2</row>
      <rowOff>0</rowOff>
    </from>
    <to>
      <col>15</col>
      <colOff>363240</colOff>
      <row>20</row>
      <rowOff>169200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12</row>
      <rowOff>0</rowOff>
    </from>
    <to>
      <col>15</col>
      <colOff>364320</colOff>
      <row>30</row>
      <rowOff>170280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9</row>
      <rowOff>0</rowOff>
    </from>
    <to>
      <col>5</col>
      <colOff>134640</colOff>
      <row>27</row>
      <rowOff>169200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style="16" min="1" max="1"/>
    <col width="110" customWidth="1" style="16" min="2" max="2"/>
  </cols>
  <sheetData>
    <row r="1">
      <c r="A1" s="29" t="inlineStr">
        <is>
          <t>Retail Pharmacy - Sales Pattern Analytics (data-free edition)</t>
        </is>
      </c>
    </row>
    <row r="3" ht="42" customHeight="1" s="16">
      <c r="A3" s="30" t="inlineStr">
        <is>
          <t>What this is</t>
        </is>
      </c>
      <c r="B3" s="31" t="inlineStr">
        <is>
          <t>The original analysis workbook with all transaction-level data removed. All 9 charts and all result tables are unchanged.</t>
        </is>
      </c>
    </row>
    <row r="4" ht="42" customHeight="1" s="16">
      <c r="A4" s="30" t="inlineStr">
        <is>
          <t>Removed</t>
        </is>
      </c>
      <c r="B4" s="31" t="inlineStr">
        <is>
          <t>Raw Data (invoice lines, customer names, mobile numbers, batch numbers), Invoice Pivot, Basket Incidence, and the per-customer RFM table.</t>
        </is>
      </c>
    </row>
    <row r="5" ht="42" customHeight="1" s="16">
      <c r="A5" s="30" t="inlineStr">
        <is>
          <t>Kept</t>
        </is>
      </c>
      <c r="B5" s="31" t="inlineStr">
        <is>
          <t>Segment, product, monthly and daily-demand aggregates; every chart; formulas that depend only on kept cells.</t>
        </is>
      </c>
    </row>
    <row r="6" ht="42" customHeight="1" s="16">
      <c r="A6" s="30" t="inlineStr">
        <is>
          <t>Values vs formulas</t>
        </is>
      </c>
      <c r="B6" s="31" t="inlineStr">
        <is>
          <t>Cells that originally read from the removed sheets now hold their computed values. Downstream formulas (cumulative %, ABC/XYZ class, support/confidence/lift, trend fit, MAPE, safety stock, reorder point) are still live.</t>
        </is>
      </c>
    </row>
    <row r="7" ht="42" customHeight="1" s="16">
      <c r="A7" s="30" t="inlineStr">
        <is>
          <t>Source data</t>
        </is>
      </c>
      <c r="B7" s="31" t="inlineStr">
        <is>
          <t>Six months of a Bengaluru retail pharmacy's billing data (1 Jan - 30 Jun 2024), used under written authorisation for academic purposes.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8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15" min="1" max="10"/>
    <col width="15" customWidth="1" style="15" min="12" max="18"/>
  </cols>
  <sheetData>
    <row r="1" ht="43" customHeight="1" s="16">
      <c r="A1" s="17" t="inlineStr">
        <is>
          <t>Recency (days since last invoice, snapshot 2024-07-01), Frequency (unique invoices), and Monetary (total spend) computed live from 'Invoice Pivot'. R/M scores use quartile thresholds (QUARTILE); F score uses a tie-broken frequency rank (RANK + COUNTIF) before quartiling, matching the tie-handling used in the analysis. Segment = sum of R+F+M scores. [Data-free edition: the source data sheets were removed; cells that read from them hold the computed values.]</t>
        </is>
      </c>
    </row>
    <row r="2" ht="23.25" customHeight="1" s="16">
      <c r="L2" s="19" t="inlineStr">
        <is>
          <t>Segment</t>
        </is>
      </c>
      <c r="M2" s="19" t="inlineStr">
        <is>
          <t>Customers</t>
        </is>
      </c>
      <c r="N2" s="19" t="inlineStr">
        <is>
          <t>% of Customers</t>
        </is>
      </c>
      <c r="O2" s="19" t="inlineStr">
        <is>
          <t>Avg. Recency</t>
        </is>
      </c>
      <c r="P2" s="19" t="inlineStr">
        <is>
          <t>Avg. Frequency</t>
        </is>
      </c>
      <c r="Q2" s="19" t="inlineStr">
        <is>
          <t>Avg. Monetary (₹)</t>
        </is>
      </c>
      <c r="R2" s="19" t="inlineStr">
        <is>
          <t>Revenue Share</t>
        </is>
      </c>
    </row>
    <row r="3" ht="15" customHeight="1" s="16">
      <c r="A3" s="32" t="inlineStr">
        <is>
          <t>Per-customer RFM table (820 customers: IDs, R/F/M scores) removed from this public copy. Segment summary at right (columns L-R) is unchanged.</t>
        </is>
      </c>
      <c r="L3" s="15" t="inlineStr">
        <is>
          <t>High-Value Loyal</t>
        </is>
      </c>
      <c r="M3" s="15" t="n">
        <v>213</v>
      </c>
      <c r="N3" s="22" t="n">
        <v>0.259756097560976</v>
      </c>
      <c r="O3" s="23" t="n">
        <v>6.07981220657277</v>
      </c>
      <c r="P3" s="23" t="n">
        <v>21.5868544600939</v>
      </c>
      <c r="Q3" s="21" t="n">
        <v>17636.9772769953</v>
      </c>
      <c r="R3" s="22" t="n">
        <v>0.408543631034729</v>
      </c>
    </row>
    <row r="4" ht="15" customHeight="1" s="16">
      <c r="L4" s="15" t="inlineStr">
        <is>
          <t>Steady/Regular</t>
        </is>
      </c>
      <c r="M4" s="15" t="n">
        <v>309</v>
      </c>
      <c r="N4" s="22" t="n">
        <v>0.376829268292683</v>
      </c>
      <c r="O4" s="23" t="n">
        <v>9.896440129449839</v>
      </c>
      <c r="P4" s="23" t="n">
        <v>16.4854368932039</v>
      </c>
      <c r="Q4" s="21" t="n">
        <v>10965.6520711974</v>
      </c>
      <c r="R4" s="22" t="n">
        <v>0.368491629572249</v>
      </c>
    </row>
    <row r="5" ht="15" customHeight="1" s="16">
      <c r="L5" s="15" t="inlineStr">
        <is>
          <t>Occasional</t>
        </is>
      </c>
      <c r="M5" s="15" t="n">
        <v>194</v>
      </c>
      <c r="N5" s="22" t="n">
        <v>0.236585365853659</v>
      </c>
      <c r="O5" s="23" t="n">
        <v>14.9639175257732</v>
      </c>
      <c r="P5" s="23" t="n">
        <v>12.9948453608247</v>
      </c>
      <c r="Q5" s="21" t="n">
        <v>7577.18469072165</v>
      </c>
      <c r="R5" s="22" t="n">
        <v>0.159861649089877</v>
      </c>
    </row>
    <row r="6" ht="15" customHeight="1" s="16">
      <c r="L6" s="15" t="inlineStr">
        <is>
          <t>At-Risk/Infrequent</t>
        </is>
      </c>
      <c r="M6" s="15" t="n">
        <v>104</v>
      </c>
      <c r="N6" s="22" t="n">
        <v>0.126829268292683</v>
      </c>
      <c r="O6" s="23" t="n">
        <v>25</v>
      </c>
      <c r="P6" s="23" t="n">
        <v>10.9807692307692</v>
      </c>
      <c r="Q6" s="21" t="n">
        <v>5579.33711538462</v>
      </c>
      <c r="R6" s="22" t="n">
        <v>0.06310309030314459</v>
      </c>
    </row>
    <row r="7" ht="15" customHeight="1" s="16"/>
    <row r="8" ht="15" customHeight="1" s="16"/>
    <row r="9" ht="15" customHeight="1" s="16"/>
    <row r="10" ht="15" customHeight="1" s="16"/>
    <row r="11" ht="15" customHeight="1" s="16"/>
    <row r="12" ht="15" customHeight="1" s="16"/>
    <row r="13" ht="15" customHeight="1" s="16"/>
    <row r="14" ht="15" customHeight="1" s="16"/>
    <row r="15" ht="15" customHeight="1" s="16"/>
    <row r="16" ht="15" customHeight="1" s="16"/>
    <row r="17" ht="15" customHeight="1" s="16"/>
    <row r="18" ht="15" customHeight="1" s="16"/>
    <row r="19" ht="15" customHeight="1" s="16"/>
    <row r="20" ht="15" customHeight="1" s="16"/>
    <row r="21" ht="15" customHeight="1" s="16"/>
    <row r="22" ht="15" customHeight="1" s="16"/>
    <row r="23" ht="15" customHeight="1" s="16"/>
    <row r="24" ht="15" customHeight="1" s="16"/>
    <row r="25" ht="15" customHeight="1" s="16"/>
    <row r="26" ht="15" customHeight="1" s="16"/>
    <row r="27" ht="15" customHeight="1" s="16"/>
    <row r="28" ht="15" customHeight="1" s="16"/>
    <row r="29" ht="15" customHeight="1" s="16"/>
    <row r="30" ht="15" customHeight="1" s="16"/>
    <row r="31" ht="15" customHeight="1" s="16"/>
    <row r="32" ht="15" customHeight="1" s="16"/>
    <row r="33" ht="15" customHeight="1" s="16"/>
    <row r="34" ht="15" customHeight="1" s="16"/>
    <row r="35" ht="15" customHeight="1" s="16"/>
    <row r="36" ht="15" customHeight="1" s="16"/>
    <row r="37" ht="15" customHeight="1" s="16"/>
    <row r="38" ht="15" customHeight="1" s="16"/>
    <row r="39" ht="15" customHeight="1" s="16"/>
    <row r="40" ht="15" customHeight="1" s="16"/>
    <row r="41" ht="15" customHeight="1" s="16"/>
    <row r="42" ht="15" customHeight="1" s="16"/>
    <row r="43" ht="15" customHeight="1" s="16"/>
    <row r="44" ht="15" customHeight="1" s="16"/>
    <row r="45" ht="15" customHeight="1" s="16"/>
    <row r="46" ht="15" customHeight="1" s="16"/>
    <row r="47" ht="15" customHeight="1" s="16"/>
    <row r="48" ht="15" customHeight="1" s="16"/>
    <row r="49" ht="15" customHeight="1" s="16"/>
    <row r="50" ht="15" customHeight="1" s="16"/>
    <row r="51" ht="15" customHeight="1" s="16"/>
    <row r="52" ht="15" customHeight="1" s="16"/>
    <row r="53" ht="15" customHeight="1" s="16"/>
    <row r="54" ht="15" customHeight="1" s="16"/>
    <row r="55" ht="15" customHeight="1" s="16"/>
    <row r="56" ht="15" customHeight="1" s="16"/>
    <row r="57" ht="15" customHeight="1" s="16"/>
    <row r="58" ht="15" customHeight="1" s="16"/>
    <row r="59" ht="15" customHeight="1" s="16"/>
    <row r="60" ht="15" customHeight="1" s="16"/>
    <row r="61" ht="15" customHeight="1" s="16"/>
    <row r="62" ht="15" customHeight="1" s="16"/>
    <row r="63" ht="15" customHeight="1" s="16"/>
    <row r="64" ht="15" customHeight="1" s="16"/>
    <row r="65" ht="15" customHeight="1" s="16"/>
    <row r="66" ht="15" customHeight="1" s="16"/>
    <row r="67" ht="15" customHeight="1" s="16"/>
    <row r="68" ht="15" customHeight="1" s="16"/>
    <row r="69" ht="15" customHeight="1" s="16"/>
    <row r="70" ht="15" customHeight="1" s="16"/>
    <row r="71" ht="15" customHeight="1" s="16"/>
    <row r="72" ht="15" customHeight="1" s="16"/>
    <row r="73" ht="15" customHeight="1" s="16"/>
    <row r="74" ht="15" customHeight="1" s="16"/>
    <row r="75" ht="15" customHeight="1" s="16"/>
    <row r="76" ht="15" customHeight="1" s="16"/>
    <row r="77" ht="15" customHeight="1" s="16"/>
    <row r="78" ht="15" customHeight="1" s="16"/>
    <row r="79" ht="15" customHeight="1" s="16"/>
    <row r="80" ht="15" customHeight="1" s="16"/>
    <row r="81" ht="15" customHeight="1" s="16"/>
    <row r="82" ht="15" customHeight="1" s="16"/>
    <row r="83" ht="15" customHeight="1" s="16"/>
    <row r="84" ht="15" customHeight="1" s="16"/>
    <row r="85" ht="15" customHeight="1" s="16"/>
    <row r="86" ht="15" customHeight="1" s="16"/>
    <row r="87" ht="15" customHeight="1" s="16"/>
    <row r="88" ht="15" customHeight="1" s="16"/>
    <row r="89" ht="15" customHeight="1" s="16"/>
    <row r="90" ht="15" customHeight="1" s="16"/>
    <row r="91" ht="15" customHeight="1" s="16"/>
    <row r="92" ht="15" customHeight="1" s="16"/>
    <row r="93" ht="15" customHeight="1" s="16"/>
    <row r="94" ht="15" customHeight="1" s="16"/>
    <row r="95" ht="15" customHeight="1" s="16"/>
    <row r="96" ht="15" customHeight="1" s="16"/>
    <row r="97" ht="15" customHeight="1" s="16"/>
    <row r="98" ht="15" customHeight="1" s="16"/>
    <row r="99" ht="15" customHeight="1" s="16"/>
    <row r="100" ht="15" customHeight="1" s="16"/>
    <row r="101" ht="15" customHeight="1" s="16"/>
    <row r="102" ht="15" customHeight="1" s="16"/>
    <row r="103" ht="15" customHeight="1" s="16"/>
    <row r="104" ht="15" customHeight="1" s="16"/>
    <row r="105" ht="15" customHeight="1" s="16"/>
    <row r="106" ht="15" customHeight="1" s="16"/>
    <row r="107" ht="15" customHeight="1" s="16"/>
    <row r="108" ht="15" customHeight="1" s="16"/>
    <row r="109" ht="15" customHeight="1" s="16"/>
    <row r="110" ht="15" customHeight="1" s="16"/>
    <row r="111" ht="15" customHeight="1" s="16"/>
    <row r="112" ht="15" customHeight="1" s="16"/>
    <row r="113" ht="15" customHeight="1" s="16"/>
    <row r="114" ht="15" customHeight="1" s="16"/>
    <row r="115" ht="15" customHeight="1" s="16"/>
    <row r="116" ht="15" customHeight="1" s="16"/>
    <row r="117" ht="15" customHeight="1" s="16"/>
    <row r="118" ht="15" customHeight="1" s="16"/>
    <row r="119" ht="15" customHeight="1" s="16"/>
    <row r="120" ht="15" customHeight="1" s="16"/>
    <row r="121" ht="15" customHeight="1" s="16"/>
    <row r="122" ht="15" customHeight="1" s="16"/>
    <row r="123" ht="15" customHeight="1" s="16"/>
    <row r="124" ht="15" customHeight="1" s="16"/>
    <row r="125" ht="15" customHeight="1" s="16"/>
    <row r="126" ht="15" customHeight="1" s="16"/>
    <row r="127" ht="15" customHeight="1" s="16"/>
    <row r="128" ht="15" customHeight="1" s="16"/>
    <row r="129" ht="15" customHeight="1" s="16"/>
    <row r="130" ht="15" customHeight="1" s="16"/>
    <row r="131" ht="15" customHeight="1" s="16"/>
    <row r="132" ht="15" customHeight="1" s="16"/>
    <row r="133" ht="15" customHeight="1" s="16"/>
    <row r="134" ht="15" customHeight="1" s="16"/>
    <row r="135" ht="15" customHeight="1" s="16"/>
    <row r="136" ht="15" customHeight="1" s="16"/>
    <row r="137" ht="15" customHeight="1" s="16"/>
    <row r="138" ht="15" customHeight="1" s="16"/>
    <row r="139" ht="15" customHeight="1" s="16"/>
    <row r="140" ht="15" customHeight="1" s="16"/>
    <row r="141" ht="15" customHeight="1" s="16"/>
    <row r="142" ht="15" customHeight="1" s="16"/>
    <row r="143" ht="15" customHeight="1" s="16"/>
    <row r="144" ht="15" customHeight="1" s="16"/>
    <row r="145" ht="15" customHeight="1" s="16"/>
    <row r="146" ht="15" customHeight="1" s="16"/>
    <row r="147" ht="15" customHeight="1" s="16"/>
    <row r="148" ht="15" customHeight="1" s="16"/>
    <row r="149" ht="15" customHeight="1" s="16"/>
    <row r="150" ht="15" customHeight="1" s="16"/>
    <row r="151" ht="15" customHeight="1" s="16"/>
    <row r="152" ht="15" customHeight="1" s="16"/>
    <row r="153" ht="15" customHeight="1" s="16"/>
    <row r="154" ht="15" customHeight="1" s="16"/>
    <row r="155" ht="15" customHeight="1" s="16"/>
    <row r="156" ht="15" customHeight="1" s="16"/>
    <row r="157" ht="15" customHeight="1" s="16"/>
    <row r="158" ht="15" customHeight="1" s="16"/>
    <row r="159" ht="15" customHeight="1" s="16"/>
    <row r="160" ht="15" customHeight="1" s="16"/>
    <row r="161" ht="15" customHeight="1" s="16"/>
    <row r="162" ht="15" customHeight="1" s="16"/>
    <row r="163" ht="15" customHeight="1" s="16"/>
    <row r="164" ht="15" customHeight="1" s="16"/>
    <row r="165" ht="15" customHeight="1" s="16"/>
    <row r="166" ht="15" customHeight="1" s="16"/>
    <row r="167" ht="15" customHeight="1" s="16"/>
    <row r="168" ht="15" customHeight="1" s="16"/>
    <row r="169" ht="15" customHeight="1" s="16"/>
    <row r="170" ht="15" customHeight="1" s="16"/>
    <row r="171" ht="15" customHeight="1" s="16"/>
    <row r="172" ht="15" customHeight="1" s="16"/>
    <row r="173" ht="15" customHeight="1" s="16"/>
    <row r="174" ht="15" customHeight="1" s="16"/>
    <row r="175" ht="15" customHeight="1" s="16"/>
    <row r="176" ht="15" customHeight="1" s="16"/>
    <row r="177" ht="15" customHeight="1" s="16"/>
    <row r="178" ht="15" customHeight="1" s="16"/>
    <row r="179" ht="15" customHeight="1" s="16"/>
    <row r="180" ht="15" customHeight="1" s="16"/>
    <row r="181" ht="15" customHeight="1" s="16"/>
    <row r="182" ht="15" customHeight="1" s="16"/>
    <row r="183" ht="15" customHeight="1" s="16"/>
    <row r="184" ht="15" customHeight="1" s="16"/>
    <row r="185" ht="15" customHeight="1" s="16"/>
    <row r="186" ht="15" customHeight="1" s="16"/>
    <row r="187" ht="15" customHeight="1" s="16"/>
    <row r="188" ht="15" customHeight="1" s="16"/>
    <row r="189" ht="15" customHeight="1" s="16"/>
    <row r="190" ht="15" customHeight="1" s="16"/>
    <row r="191" ht="15" customHeight="1" s="16"/>
    <row r="192" ht="15" customHeight="1" s="16"/>
    <row r="193" ht="15" customHeight="1" s="16"/>
    <row r="194" ht="15" customHeight="1" s="16"/>
    <row r="195" ht="15" customHeight="1" s="16"/>
    <row r="196" ht="15" customHeight="1" s="16"/>
    <row r="197" ht="15" customHeight="1" s="16"/>
    <row r="198" ht="15" customHeight="1" s="16"/>
    <row r="199" ht="15" customHeight="1" s="16"/>
    <row r="200" ht="15" customHeight="1" s="16"/>
    <row r="201" ht="15" customHeight="1" s="16"/>
    <row r="202" ht="15" customHeight="1" s="16"/>
    <row r="203" ht="15" customHeight="1" s="16"/>
    <row r="204" ht="15" customHeight="1" s="16"/>
    <row r="205" ht="15" customHeight="1" s="16"/>
    <row r="206" ht="15" customHeight="1" s="16"/>
    <row r="207" ht="15" customHeight="1" s="16"/>
    <row r="208" ht="15" customHeight="1" s="16"/>
    <row r="209" ht="15" customHeight="1" s="16"/>
    <row r="210" ht="15" customHeight="1" s="16"/>
    <row r="211" ht="15" customHeight="1" s="16"/>
    <row r="212" ht="15" customHeight="1" s="16"/>
    <row r="213" ht="15" customHeight="1" s="16"/>
    <row r="214" ht="15" customHeight="1" s="16"/>
    <row r="215" ht="15" customHeight="1" s="16"/>
    <row r="216" ht="15" customHeight="1" s="16"/>
    <row r="217" ht="15" customHeight="1" s="16"/>
    <row r="218" ht="15" customHeight="1" s="16"/>
    <row r="219" ht="15" customHeight="1" s="16"/>
    <row r="220" ht="15" customHeight="1" s="16"/>
    <row r="221" ht="15" customHeight="1" s="16"/>
    <row r="222" ht="15" customHeight="1" s="16"/>
    <row r="223" ht="15" customHeight="1" s="16"/>
    <row r="224" ht="15" customHeight="1" s="16"/>
    <row r="225" ht="15" customHeight="1" s="16"/>
    <row r="226" ht="15" customHeight="1" s="16"/>
    <row r="227" ht="15" customHeight="1" s="16"/>
    <row r="228" ht="15" customHeight="1" s="16"/>
    <row r="229" ht="15" customHeight="1" s="16"/>
    <row r="230" ht="15" customHeight="1" s="16"/>
    <row r="231" ht="15" customHeight="1" s="16"/>
    <row r="232" ht="15" customHeight="1" s="16"/>
    <row r="233" ht="15" customHeight="1" s="16"/>
    <row r="234" ht="15" customHeight="1" s="16"/>
    <row r="235" ht="15" customHeight="1" s="16"/>
    <row r="236" ht="15" customHeight="1" s="16"/>
    <row r="237" ht="15" customHeight="1" s="16"/>
    <row r="238" ht="15" customHeight="1" s="16"/>
    <row r="239" ht="15" customHeight="1" s="16"/>
    <row r="240" ht="15" customHeight="1" s="16"/>
    <row r="241" ht="15" customHeight="1" s="16"/>
    <row r="242" ht="15" customHeight="1" s="16"/>
    <row r="243" ht="15" customHeight="1" s="16"/>
    <row r="244" ht="15" customHeight="1" s="16"/>
    <row r="245" ht="15" customHeight="1" s="16"/>
    <row r="246" ht="15" customHeight="1" s="16"/>
    <row r="247" ht="15" customHeight="1" s="16"/>
    <row r="248" ht="15" customHeight="1" s="16"/>
    <row r="249" ht="15" customHeight="1" s="16"/>
    <row r="250" ht="15" customHeight="1" s="16"/>
    <row r="251" ht="15" customHeight="1" s="16"/>
    <row r="252" ht="15" customHeight="1" s="16"/>
    <row r="253" ht="15" customHeight="1" s="16"/>
    <row r="254" ht="15" customHeight="1" s="16"/>
    <row r="255" ht="15" customHeight="1" s="16"/>
    <row r="256" ht="15" customHeight="1" s="16"/>
    <row r="257" ht="15" customHeight="1" s="16"/>
    <row r="258" ht="15" customHeight="1" s="16"/>
    <row r="259" ht="15" customHeight="1" s="16"/>
    <row r="260" ht="15" customHeight="1" s="16"/>
    <row r="261" ht="15" customHeight="1" s="16"/>
    <row r="262" ht="15" customHeight="1" s="16"/>
    <row r="263" ht="15" customHeight="1" s="16"/>
    <row r="264" ht="15" customHeight="1" s="16"/>
    <row r="265" ht="15" customHeight="1" s="16"/>
    <row r="266" ht="15" customHeight="1" s="16"/>
    <row r="267" ht="15" customHeight="1" s="16"/>
    <row r="268" ht="15" customHeight="1" s="16"/>
    <row r="269" ht="15" customHeight="1" s="16"/>
    <row r="270" ht="15" customHeight="1" s="16"/>
    <row r="271" ht="15" customHeight="1" s="16"/>
    <row r="272" ht="15" customHeight="1" s="16"/>
    <row r="273" ht="15" customHeight="1" s="16"/>
    <row r="274" ht="15" customHeight="1" s="16"/>
    <row r="275" ht="15" customHeight="1" s="16"/>
    <row r="276" ht="15" customHeight="1" s="16"/>
    <row r="277" ht="15" customHeight="1" s="16"/>
    <row r="278" ht="15" customHeight="1" s="16"/>
    <row r="279" ht="15" customHeight="1" s="16"/>
    <row r="280" ht="15" customHeight="1" s="16"/>
    <row r="281" ht="15" customHeight="1" s="16"/>
    <row r="282" ht="15" customHeight="1" s="16"/>
    <row r="283" ht="15" customHeight="1" s="16"/>
    <row r="284" ht="15" customHeight="1" s="16"/>
    <row r="285" ht="15" customHeight="1" s="16"/>
    <row r="286" ht="15" customHeight="1" s="16"/>
    <row r="287" ht="15" customHeight="1" s="16"/>
    <row r="288" ht="15" customHeight="1" s="16"/>
    <row r="289" ht="15" customHeight="1" s="16"/>
    <row r="290" ht="15" customHeight="1" s="16"/>
    <row r="291" ht="15" customHeight="1" s="16"/>
    <row r="292" ht="15" customHeight="1" s="16"/>
    <row r="293" ht="15" customHeight="1" s="16"/>
    <row r="294" ht="15" customHeight="1" s="16"/>
    <row r="295" ht="15" customHeight="1" s="16"/>
    <row r="296" ht="15" customHeight="1" s="16"/>
    <row r="297" ht="15" customHeight="1" s="16"/>
    <row r="298" ht="15" customHeight="1" s="16"/>
    <row r="299" ht="15" customHeight="1" s="16"/>
    <row r="300" ht="15" customHeight="1" s="16"/>
    <row r="301" ht="15" customHeight="1" s="16"/>
    <row r="302" ht="15" customHeight="1" s="16"/>
    <row r="303" ht="15" customHeight="1" s="16"/>
    <row r="304" ht="15" customHeight="1" s="16"/>
    <row r="305" ht="15" customHeight="1" s="16"/>
    <row r="306" ht="15" customHeight="1" s="16"/>
    <row r="307" ht="15" customHeight="1" s="16"/>
    <row r="308" ht="15" customHeight="1" s="16"/>
    <row r="309" ht="15" customHeight="1" s="16"/>
    <row r="310" ht="15" customHeight="1" s="16"/>
    <row r="311" ht="15" customHeight="1" s="16"/>
    <row r="312" ht="15" customHeight="1" s="16"/>
    <row r="313" ht="15" customHeight="1" s="16"/>
    <row r="314" ht="15" customHeight="1" s="16"/>
    <row r="315" ht="15" customHeight="1" s="16"/>
    <row r="316" ht="15" customHeight="1" s="16"/>
    <row r="317" ht="15" customHeight="1" s="16"/>
    <row r="318" ht="15" customHeight="1" s="16"/>
    <row r="319" ht="15" customHeight="1" s="16"/>
    <row r="320" ht="15" customHeight="1" s="16"/>
    <row r="321" ht="15" customHeight="1" s="16"/>
    <row r="322" ht="15" customHeight="1" s="16"/>
    <row r="323" ht="15" customHeight="1" s="16"/>
    <row r="324" ht="15" customHeight="1" s="16"/>
    <row r="325" ht="15" customHeight="1" s="16"/>
    <row r="326" ht="15" customHeight="1" s="16"/>
    <row r="327" ht="15" customHeight="1" s="16"/>
    <row r="328" ht="15" customHeight="1" s="16"/>
    <row r="329" ht="15" customHeight="1" s="16"/>
    <row r="330" ht="15" customHeight="1" s="16"/>
    <row r="331" ht="15" customHeight="1" s="16"/>
    <row r="332" ht="15" customHeight="1" s="16"/>
    <row r="333" ht="15" customHeight="1" s="16"/>
    <row r="334" ht="15" customHeight="1" s="16"/>
    <row r="335" ht="15" customHeight="1" s="16"/>
    <row r="336" ht="15" customHeight="1" s="16"/>
    <row r="337" ht="15" customHeight="1" s="16"/>
    <row r="338" ht="15" customHeight="1" s="16"/>
    <row r="339" ht="15" customHeight="1" s="16"/>
    <row r="340" ht="15" customHeight="1" s="16"/>
    <row r="341" ht="15" customHeight="1" s="16"/>
    <row r="342" ht="15" customHeight="1" s="16"/>
    <row r="343" ht="15" customHeight="1" s="16"/>
    <row r="344" ht="15" customHeight="1" s="16"/>
    <row r="345" ht="15" customHeight="1" s="16"/>
    <row r="346" ht="15" customHeight="1" s="16"/>
    <row r="347" ht="15" customHeight="1" s="16"/>
    <row r="348" ht="15" customHeight="1" s="16"/>
    <row r="349" ht="15" customHeight="1" s="16"/>
    <row r="350" ht="15" customHeight="1" s="16"/>
    <row r="351" ht="15" customHeight="1" s="16"/>
    <row r="352" ht="15" customHeight="1" s="16"/>
    <row r="353" ht="15" customHeight="1" s="16"/>
    <row r="354" ht="15" customHeight="1" s="16"/>
    <row r="355" ht="15" customHeight="1" s="16"/>
    <row r="356" ht="15" customHeight="1" s="16"/>
    <row r="357" ht="15" customHeight="1" s="16"/>
    <row r="358" ht="15" customHeight="1" s="16"/>
    <row r="359" ht="15" customHeight="1" s="16"/>
    <row r="360" ht="15" customHeight="1" s="16"/>
    <row r="361" ht="15" customHeight="1" s="16"/>
    <row r="362" ht="15" customHeight="1" s="16"/>
    <row r="363" ht="15" customHeight="1" s="16"/>
    <row r="364" ht="15" customHeight="1" s="16"/>
    <row r="365" ht="15" customHeight="1" s="16"/>
    <row r="366" ht="15" customHeight="1" s="16"/>
    <row r="367" ht="15" customHeight="1" s="16"/>
    <row r="368" ht="15" customHeight="1" s="16"/>
    <row r="369" ht="15" customHeight="1" s="16"/>
    <row r="370" ht="15" customHeight="1" s="16"/>
    <row r="371" ht="15" customHeight="1" s="16"/>
    <row r="372" ht="15" customHeight="1" s="16"/>
    <row r="373" ht="15" customHeight="1" s="16"/>
    <row r="374" ht="15" customHeight="1" s="16"/>
    <row r="375" ht="15" customHeight="1" s="16"/>
    <row r="376" ht="15" customHeight="1" s="16"/>
    <row r="377" ht="15" customHeight="1" s="16"/>
    <row r="378" ht="15" customHeight="1" s="16"/>
    <row r="379" ht="15" customHeight="1" s="16"/>
    <row r="380" ht="15" customHeight="1" s="16"/>
    <row r="381" ht="15" customHeight="1" s="16"/>
    <row r="382" ht="15" customHeight="1" s="16"/>
    <row r="383" ht="15" customHeight="1" s="16"/>
    <row r="384" ht="15" customHeight="1" s="16"/>
    <row r="385" ht="15" customHeight="1" s="16"/>
    <row r="386" ht="15" customHeight="1" s="16"/>
    <row r="387" ht="15" customHeight="1" s="16"/>
    <row r="388" ht="15" customHeight="1" s="16"/>
    <row r="389" ht="15" customHeight="1" s="16"/>
    <row r="390" ht="15" customHeight="1" s="16"/>
    <row r="391" ht="15" customHeight="1" s="16"/>
    <row r="392" ht="15" customHeight="1" s="16"/>
    <row r="393" ht="15" customHeight="1" s="16"/>
    <row r="394" ht="15" customHeight="1" s="16"/>
    <row r="395" ht="15" customHeight="1" s="16"/>
    <row r="396" ht="15" customHeight="1" s="16"/>
    <row r="397" ht="15" customHeight="1" s="16"/>
    <row r="398" ht="15" customHeight="1" s="16"/>
    <row r="399" ht="15" customHeight="1" s="16"/>
    <row r="400" ht="15" customHeight="1" s="16"/>
    <row r="401" ht="15" customHeight="1" s="16"/>
    <row r="402" ht="15" customHeight="1" s="16"/>
    <row r="403" ht="15" customHeight="1" s="16"/>
    <row r="404" ht="15" customHeight="1" s="16"/>
    <row r="405" ht="15" customHeight="1" s="16"/>
    <row r="406" ht="15" customHeight="1" s="16"/>
    <row r="407" ht="15" customHeight="1" s="16"/>
    <row r="408" ht="15" customHeight="1" s="16"/>
    <row r="409" ht="15" customHeight="1" s="16"/>
    <row r="410" ht="15" customHeight="1" s="16"/>
    <row r="411" ht="15" customHeight="1" s="16"/>
    <row r="412" ht="15" customHeight="1" s="16"/>
    <row r="413" ht="15" customHeight="1" s="16"/>
    <row r="414" ht="15" customHeight="1" s="16"/>
    <row r="415" ht="15" customHeight="1" s="16"/>
    <row r="416" ht="15" customHeight="1" s="16"/>
    <row r="417" ht="15" customHeight="1" s="16"/>
    <row r="418" ht="15" customHeight="1" s="16"/>
    <row r="419" ht="15" customHeight="1" s="16"/>
    <row r="420" ht="15" customHeight="1" s="16"/>
    <row r="421" ht="15" customHeight="1" s="16"/>
    <row r="422" ht="15" customHeight="1" s="16"/>
    <row r="423" ht="15" customHeight="1" s="16"/>
    <row r="424" ht="15" customHeight="1" s="16"/>
    <row r="425" ht="15" customHeight="1" s="16"/>
    <row r="426" ht="15" customHeight="1" s="16"/>
    <row r="427" ht="15" customHeight="1" s="16"/>
    <row r="428" ht="15" customHeight="1" s="16"/>
    <row r="429" ht="15" customHeight="1" s="16"/>
    <row r="430" ht="15" customHeight="1" s="16"/>
    <row r="431" ht="15" customHeight="1" s="16"/>
    <row r="432" ht="15" customHeight="1" s="16"/>
    <row r="433" ht="15" customHeight="1" s="16"/>
    <row r="434" ht="15" customHeight="1" s="16"/>
    <row r="435" ht="15" customHeight="1" s="16"/>
    <row r="436" ht="15" customHeight="1" s="16"/>
    <row r="437" ht="15" customHeight="1" s="16"/>
    <row r="438" ht="15" customHeight="1" s="16"/>
    <row r="439" ht="15" customHeight="1" s="16"/>
    <row r="440" ht="15" customHeight="1" s="16"/>
    <row r="441" ht="15" customHeight="1" s="16"/>
    <row r="442" ht="15" customHeight="1" s="16"/>
    <row r="443" ht="15" customHeight="1" s="16"/>
    <row r="444" ht="15" customHeight="1" s="16"/>
    <row r="445" ht="15" customHeight="1" s="16"/>
    <row r="446" ht="15" customHeight="1" s="16"/>
    <row r="447" ht="15" customHeight="1" s="16"/>
    <row r="448" ht="15" customHeight="1" s="16"/>
    <row r="449" ht="15" customHeight="1" s="16"/>
    <row r="450" ht="15" customHeight="1" s="16"/>
    <row r="451" ht="15" customHeight="1" s="16"/>
    <row r="452" ht="15" customHeight="1" s="16"/>
    <row r="453" ht="15" customHeight="1" s="16"/>
    <row r="454" ht="15" customHeight="1" s="16"/>
    <row r="455" ht="15" customHeight="1" s="16"/>
    <row r="456" ht="15" customHeight="1" s="16"/>
    <row r="457" ht="15" customHeight="1" s="16"/>
    <row r="458" ht="15" customHeight="1" s="16"/>
    <row r="459" ht="15" customHeight="1" s="16"/>
    <row r="460" ht="15" customHeight="1" s="16"/>
    <row r="461" ht="15" customHeight="1" s="16"/>
    <row r="462" ht="15" customHeight="1" s="16"/>
    <row r="463" ht="15" customHeight="1" s="16"/>
    <row r="464" ht="15" customHeight="1" s="16"/>
    <row r="465" ht="15" customHeight="1" s="16"/>
    <row r="466" ht="15" customHeight="1" s="16"/>
    <row r="467" ht="15" customHeight="1" s="16"/>
    <row r="468" ht="15" customHeight="1" s="16"/>
    <row r="469" ht="15" customHeight="1" s="16"/>
    <row r="470" ht="15" customHeight="1" s="16"/>
    <row r="471" ht="15" customHeight="1" s="16"/>
    <row r="472" ht="15" customHeight="1" s="16"/>
    <row r="473" ht="15" customHeight="1" s="16"/>
    <row r="474" ht="15" customHeight="1" s="16"/>
    <row r="475" ht="15" customHeight="1" s="16"/>
    <row r="476" ht="15" customHeight="1" s="16"/>
    <row r="477" ht="15" customHeight="1" s="16"/>
    <row r="478" ht="15" customHeight="1" s="16"/>
    <row r="479" ht="15" customHeight="1" s="16"/>
    <row r="480" ht="15" customHeight="1" s="16"/>
    <row r="481" ht="15" customHeight="1" s="16"/>
    <row r="482" ht="15" customHeight="1" s="16"/>
    <row r="483" ht="15" customHeight="1" s="16"/>
    <row r="484" ht="15" customHeight="1" s="16"/>
    <row r="485" ht="15" customHeight="1" s="16"/>
    <row r="486" ht="15" customHeight="1" s="16"/>
    <row r="487" ht="15" customHeight="1" s="16"/>
    <row r="488" ht="15" customHeight="1" s="16"/>
    <row r="489" ht="15" customHeight="1" s="16"/>
    <row r="490" ht="15" customHeight="1" s="16"/>
    <row r="491" ht="15" customHeight="1" s="16"/>
    <row r="492" ht="15" customHeight="1" s="16"/>
    <row r="493" ht="15" customHeight="1" s="16"/>
    <row r="494" ht="15" customHeight="1" s="16"/>
    <row r="495" ht="15" customHeight="1" s="16"/>
    <row r="496" ht="15" customHeight="1" s="16"/>
    <row r="497" ht="15" customHeight="1" s="16"/>
    <row r="498" ht="15" customHeight="1" s="16"/>
    <row r="499" ht="15" customHeight="1" s="16"/>
    <row r="500" ht="15" customHeight="1" s="16"/>
    <row r="501" ht="15" customHeight="1" s="16"/>
    <row r="502" ht="15" customHeight="1" s="16"/>
    <row r="503" ht="15" customHeight="1" s="16"/>
    <row r="504" ht="15" customHeight="1" s="16"/>
    <row r="505" ht="15" customHeight="1" s="16"/>
    <row r="506" ht="15" customHeight="1" s="16"/>
    <row r="507" ht="15" customHeight="1" s="16"/>
    <row r="508" ht="15" customHeight="1" s="16"/>
    <row r="509" ht="15" customHeight="1" s="16"/>
    <row r="510" ht="15" customHeight="1" s="16"/>
    <row r="511" ht="15" customHeight="1" s="16"/>
    <row r="512" ht="15" customHeight="1" s="16"/>
    <row r="513" ht="15" customHeight="1" s="16"/>
    <row r="514" ht="15" customHeight="1" s="16"/>
    <row r="515" ht="15" customHeight="1" s="16"/>
    <row r="516" ht="15" customHeight="1" s="16"/>
    <row r="517" ht="15" customHeight="1" s="16"/>
    <row r="518" ht="15" customHeight="1" s="16"/>
    <row r="519" ht="15" customHeight="1" s="16"/>
    <row r="520" ht="15" customHeight="1" s="16"/>
    <row r="521" ht="15" customHeight="1" s="16"/>
    <row r="522" ht="15" customHeight="1" s="16"/>
    <row r="523" ht="15" customHeight="1" s="16"/>
    <row r="524" ht="15" customHeight="1" s="16"/>
    <row r="525" ht="15" customHeight="1" s="16"/>
    <row r="526" ht="15" customHeight="1" s="16"/>
    <row r="527" ht="15" customHeight="1" s="16"/>
    <row r="528" ht="15" customHeight="1" s="16"/>
    <row r="529" ht="15" customHeight="1" s="16"/>
    <row r="530" ht="15" customHeight="1" s="16"/>
    <row r="531" ht="15" customHeight="1" s="16"/>
    <row r="532" ht="15" customHeight="1" s="16"/>
    <row r="533" ht="15" customHeight="1" s="16"/>
    <row r="534" ht="15" customHeight="1" s="16"/>
    <row r="535" ht="15" customHeight="1" s="16"/>
    <row r="536" ht="15" customHeight="1" s="16"/>
    <row r="537" ht="15" customHeight="1" s="16"/>
    <row r="538" ht="15" customHeight="1" s="16"/>
    <row r="539" ht="15" customHeight="1" s="16"/>
    <row r="540" ht="15" customHeight="1" s="16"/>
    <row r="541" ht="15" customHeight="1" s="16"/>
    <row r="542" ht="15" customHeight="1" s="16"/>
    <row r="543" ht="15" customHeight="1" s="16"/>
    <row r="544" ht="15" customHeight="1" s="16"/>
    <row r="545" ht="15" customHeight="1" s="16"/>
    <row r="546" ht="15" customHeight="1" s="16"/>
    <row r="547" ht="15" customHeight="1" s="16"/>
    <row r="548" ht="15" customHeight="1" s="16"/>
    <row r="549" ht="15" customHeight="1" s="16"/>
    <row r="550" ht="15" customHeight="1" s="16"/>
    <row r="551" ht="15" customHeight="1" s="16"/>
    <row r="552" ht="15" customHeight="1" s="16"/>
    <row r="553" ht="15" customHeight="1" s="16"/>
    <row r="554" ht="15" customHeight="1" s="16"/>
    <row r="555" ht="15" customHeight="1" s="16"/>
    <row r="556" ht="15" customHeight="1" s="16"/>
    <row r="557" ht="15" customHeight="1" s="16"/>
    <row r="558" ht="15" customHeight="1" s="16"/>
    <row r="559" ht="15" customHeight="1" s="16"/>
    <row r="560" ht="15" customHeight="1" s="16"/>
    <row r="561" ht="15" customHeight="1" s="16"/>
    <row r="562" ht="15" customHeight="1" s="16"/>
    <row r="563" ht="15" customHeight="1" s="16"/>
    <row r="564" ht="15" customHeight="1" s="16"/>
    <row r="565" ht="15" customHeight="1" s="16"/>
    <row r="566" ht="15" customHeight="1" s="16"/>
    <row r="567" ht="15" customHeight="1" s="16"/>
    <row r="568" ht="15" customHeight="1" s="16"/>
    <row r="569" ht="15" customHeight="1" s="16"/>
    <row r="570" ht="15" customHeight="1" s="16"/>
    <row r="571" ht="15" customHeight="1" s="16"/>
    <row r="572" ht="15" customHeight="1" s="16"/>
    <row r="573" ht="15" customHeight="1" s="16"/>
    <row r="574" ht="15" customHeight="1" s="16"/>
    <row r="575" ht="15" customHeight="1" s="16"/>
    <row r="576" ht="15" customHeight="1" s="16"/>
    <row r="577" ht="15" customHeight="1" s="16"/>
    <row r="578" ht="15" customHeight="1" s="16"/>
    <row r="579" ht="15" customHeight="1" s="16"/>
    <row r="580" ht="15" customHeight="1" s="16"/>
    <row r="581" ht="15" customHeight="1" s="16"/>
    <row r="582" ht="15" customHeight="1" s="16"/>
    <row r="583" ht="15" customHeight="1" s="16"/>
    <row r="584" ht="15" customHeight="1" s="16"/>
    <row r="585" ht="15" customHeight="1" s="16"/>
    <row r="586" ht="15" customHeight="1" s="16"/>
    <row r="587" ht="15" customHeight="1" s="16"/>
    <row r="588" ht="15" customHeight="1" s="16"/>
    <row r="589" ht="15" customHeight="1" s="16"/>
    <row r="590" ht="15" customHeight="1" s="16"/>
    <row r="591" ht="15" customHeight="1" s="16"/>
    <row r="592" ht="15" customHeight="1" s="16"/>
    <row r="593" ht="15" customHeight="1" s="16"/>
    <row r="594" ht="15" customHeight="1" s="16"/>
    <row r="595" ht="15" customHeight="1" s="16"/>
    <row r="596" ht="15" customHeight="1" s="16"/>
    <row r="597" ht="15" customHeight="1" s="16"/>
    <row r="598" ht="15" customHeight="1" s="16"/>
    <row r="599" ht="15" customHeight="1" s="16"/>
    <row r="600" ht="15" customHeight="1" s="16"/>
    <row r="601" ht="15" customHeight="1" s="16"/>
    <row r="602" ht="15" customHeight="1" s="16"/>
    <row r="603" ht="15" customHeight="1" s="16"/>
    <row r="604" ht="15" customHeight="1" s="16"/>
    <row r="605" ht="15" customHeight="1" s="16"/>
    <row r="606" ht="15" customHeight="1" s="16"/>
    <row r="607" ht="15" customHeight="1" s="16"/>
    <row r="608" ht="15" customHeight="1" s="16"/>
    <row r="609" ht="15" customHeight="1" s="16"/>
    <row r="610" ht="15" customHeight="1" s="16"/>
    <row r="611" ht="15" customHeight="1" s="16"/>
    <row r="612" ht="15" customHeight="1" s="16"/>
    <row r="613" ht="15" customHeight="1" s="16"/>
    <row r="614" ht="15" customHeight="1" s="16"/>
    <row r="615" ht="15" customHeight="1" s="16"/>
    <row r="616" ht="15" customHeight="1" s="16"/>
    <row r="617" ht="15" customHeight="1" s="16"/>
    <row r="618" ht="15" customHeight="1" s="16"/>
    <row r="619" ht="15" customHeight="1" s="16"/>
    <row r="620" ht="15" customHeight="1" s="16"/>
    <row r="621" ht="15" customHeight="1" s="16"/>
    <row r="622" ht="15" customHeight="1" s="16"/>
    <row r="623" ht="15" customHeight="1" s="16"/>
    <row r="624" ht="15" customHeight="1" s="16"/>
    <row r="625" ht="15" customHeight="1" s="16"/>
    <row r="626" ht="15" customHeight="1" s="16"/>
    <row r="627" ht="15" customHeight="1" s="16"/>
    <row r="628" ht="15" customHeight="1" s="16"/>
    <row r="629" ht="15" customHeight="1" s="16"/>
    <row r="630" ht="15" customHeight="1" s="16"/>
    <row r="631" ht="15" customHeight="1" s="16"/>
    <row r="632" ht="15" customHeight="1" s="16"/>
    <row r="633" ht="15" customHeight="1" s="16"/>
    <row r="634" ht="15" customHeight="1" s="16"/>
    <row r="635" ht="15" customHeight="1" s="16"/>
    <row r="636" ht="15" customHeight="1" s="16"/>
    <row r="637" ht="15" customHeight="1" s="16"/>
    <row r="638" ht="15" customHeight="1" s="16"/>
    <row r="639" ht="15" customHeight="1" s="16"/>
    <row r="640" ht="15" customHeight="1" s="16"/>
    <row r="641" ht="15" customHeight="1" s="16"/>
    <row r="642" ht="15" customHeight="1" s="16"/>
    <row r="643" ht="15" customHeight="1" s="16"/>
    <row r="644" ht="15" customHeight="1" s="16"/>
    <row r="645" ht="15" customHeight="1" s="16"/>
    <row r="646" ht="15" customHeight="1" s="16"/>
    <row r="647" ht="15" customHeight="1" s="16"/>
    <row r="648" ht="15" customHeight="1" s="16"/>
    <row r="649" ht="15" customHeight="1" s="16"/>
    <row r="650" ht="15" customHeight="1" s="16"/>
    <row r="651" ht="15" customHeight="1" s="16"/>
    <row r="652" ht="15" customHeight="1" s="16"/>
    <row r="653" ht="15" customHeight="1" s="16"/>
    <row r="654" ht="15" customHeight="1" s="16"/>
    <row r="655" ht="15" customHeight="1" s="16"/>
    <row r="656" ht="15" customHeight="1" s="16"/>
    <row r="657" ht="15" customHeight="1" s="16"/>
    <row r="658" ht="15" customHeight="1" s="16"/>
    <row r="659" ht="15" customHeight="1" s="16"/>
    <row r="660" ht="15" customHeight="1" s="16"/>
    <row r="661" ht="15" customHeight="1" s="16"/>
    <row r="662" ht="15" customHeight="1" s="16"/>
    <row r="663" ht="15" customHeight="1" s="16"/>
    <row r="664" ht="15" customHeight="1" s="16"/>
    <row r="665" ht="15" customHeight="1" s="16"/>
    <row r="666" ht="15" customHeight="1" s="16"/>
    <row r="667" ht="15" customHeight="1" s="16"/>
    <row r="668" ht="15" customHeight="1" s="16"/>
    <row r="669" ht="15" customHeight="1" s="16"/>
    <row r="670" ht="15" customHeight="1" s="16"/>
    <row r="671" ht="15" customHeight="1" s="16"/>
    <row r="672" ht="15" customHeight="1" s="16"/>
    <row r="673" ht="15" customHeight="1" s="16"/>
    <row r="674" ht="15" customHeight="1" s="16"/>
    <row r="675" ht="15" customHeight="1" s="16"/>
    <row r="676" ht="15" customHeight="1" s="16"/>
    <row r="677" ht="15" customHeight="1" s="16"/>
    <row r="678" ht="15" customHeight="1" s="16"/>
    <row r="679" ht="15" customHeight="1" s="16"/>
    <row r="680" ht="15" customHeight="1" s="16"/>
    <row r="681" ht="15" customHeight="1" s="16"/>
    <row r="682" ht="15" customHeight="1" s="16"/>
    <row r="683" ht="15" customHeight="1" s="16"/>
    <row r="684" ht="15" customHeight="1" s="16"/>
    <row r="685" ht="15" customHeight="1" s="16"/>
    <row r="686" ht="15" customHeight="1" s="16"/>
    <row r="687" ht="15" customHeight="1" s="16"/>
    <row r="688" ht="15" customHeight="1" s="16"/>
    <row r="689" ht="15" customHeight="1" s="16"/>
    <row r="690" ht="15" customHeight="1" s="16"/>
    <row r="691" ht="15" customHeight="1" s="16"/>
    <row r="692" ht="15" customHeight="1" s="16"/>
    <row r="693" ht="15" customHeight="1" s="16"/>
    <row r="694" ht="15" customHeight="1" s="16"/>
    <row r="695" ht="15" customHeight="1" s="16"/>
    <row r="696" ht="15" customHeight="1" s="16"/>
    <row r="697" ht="15" customHeight="1" s="16"/>
    <row r="698" ht="15" customHeight="1" s="16"/>
    <row r="699" ht="15" customHeight="1" s="16"/>
    <row r="700" ht="15" customHeight="1" s="16"/>
    <row r="701" ht="15" customHeight="1" s="16"/>
    <row r="702" ht="15" customHeight="1" s="16"/>
    <row r="703" ht="15" customHeight="1" s="16"/>
    <row r="704" ht="15" customHeight="1" s="16"/>
    <row r="705" ht="15" customHeight="1" s="16"/>
    <row r="706" ht="15" customHeight="1" s="16"/>
    <row r="707" ht="15" customHeight="1" s="16"/>
    <row r="708" ht="15" customHeight="1" s="16"/>
    <row r="709" ht="15" customHeight="1" s="16"/>
    <row r="710" ht="15" customHeight="1" s="16"/>
    <row r="711" ht="15" customHeight="1" s="16"/>
    <row r="712" ht="15" customHeight="1" s="16"/>
    <row r="713" ht="15" customHeight="1" s="16"/>
    <row r="714" ht="15" customHeight="1" s="16"/>
    <row r="715" ht="15" customHeight="1" s="16"/>
    <row r="716" ht="15" customHeight="1" s="16"/>
    <row r="717" ht="15" customHeight="1" s="16"/>
    <row r="718" ht="15" customHeight="1" s="16"/>
    <row r="719" ht="15" customHeight="1" s="16"/>
    <row r="720" ht="15" customHeight="1" s="16"/>
    <row r="721" ht="15" customHeight="1" s="16"/>
    <row r="722" ht="15" customHeight="1" s="16"/>
    <row r="723" ht="15" customHeight="1" s="16"/>
    <row r="724" ht="15" customHeight="1" s="16"/>
    <row r="725" ht="15" customHeight="1" s="16"/>
    <row r="726" ht="15" customHeight="1" s="16"/>
    <row r="727" ht="15" customHeight="1" s="16"/>
    <row r="728" ht="15" customHeight="1" s="16"/>
    <row r="729" ht="15" customHeight="1" s="16"/>
    <row r="730" ht="15" customHeight="1" s="16"/>
    <row r="731" ht="15" customHeight="1" s="16"/>
    <row r="732" ht="15" customHeight="1" s="16"/>
    <row r="733" ht="15" customHeight="1" s="16"/>
    <row r="734" ht="15" customHeight="1" s="16"/>
    <row r="735" ht="15" customHeight="1" s="16"/>
    <row r="736" ht="15" customHeight="1" s="16"/>
    <row r="737" ht="15" customHeight="1" s="16"/>
    <row r="738" ht="15" customHeight="1" s="16"/>
    <row r="739" ht="15" customHeight="1" s="16"/>
    <row r="740" ht="15" customHeight="1" s="16"/>
    <row r="741" ht="15" customHeight="1" s="16"/>
    <row r="742" ht="15" customHeight="1" s="16"/>
    <row r="743" ht="15" customHeight="1" s="16"/>
    <row r="744" ht="15" customHeight="1" s="16"/>
    <row r="745" ht="15" customHeight="1" s="16"/>
    <row r="746" ht="15" customHeight="1" s="16"/>
    <row r="747" ht="15" customHeight="1" s="16"/>
    <row r="748" ht="15" customHeight="1" s="16"/>
    <row r="749" ht="15" customHeight="1" s="16"/>
    <row r="750" ht="15" customHeight="1" s="16"/>
    <row r="751" ht="15" customHeight="1" s="16"/>
    <row r="752" ht="15" customHeight="1" s="16"/>
    <row r="753" ht="15" customHeight="1" s="16"/>
    <row r="754" ht="15" customHeight="1" s="16"/>
    <row r="755" ht="15" customHeight="1" s="16"/>
    <row r="756" ht="15" customHeight="1" s="16"/>
    <row r="757" ht="15" customHeight="1" s="16"/>
    <row r="758" ht="15" customHeight="1" s="16"/>
    <row r="759" ht="15" customHeight="1" s="16"/>
    <row r="760" ht="15" customHeight="1" s="16"/>
    <row r="761" ht="15" customHeight="1" s="16"/>
    <row r="762" ht="15" customHeight="1" s="16"/>
    <row r="763" ht="15" customHeight="1" s="16"/>
    <row r="764" ht="15" customHeight="1" s="16"/>
    <row r="765" ht="15" customHeight="1" s="16"/>
    <row r="766" ht="15" customHeight="1" s="16"/>
    <row r="767" ht="15" customHeight="1" s="16"/>
    <row r="768" ht="15" customHeight="1" s="16"/>
    <row r="769" ht="15" customHeight="1" s="16"/>
    <row r="770" ht="15" customHeight="1" s="16"/>
    <row r="771" ht="15" customHeight="1" s="16"/>
    <row r="772" ht="15" customHeight="1" s="16"/>
    <row r="773" ht="15" customHeight="1" s="16"/>
    <row r="774" ht="15" customHeight="1" s="16"/>
    <row r="775" ht="15" customHeight="1" s="16"/>
    <row r="776" ht="15" customHeight="1" s="16"/>
    <row r="777" ht="15" customHeight="1" s="16"/>
    <row r="778" ht="15" customHeight="1" s="16"/>
    <row r="779" ht="15" customHeight="1" s="16"/>
    <row r="780" ht="15" customHeight="1" s="16"/>
    <row r="781" ht="15" customHeight="1" s="16"/>
    <row r="782" ht="15" customHeight="1" s="16"/>
    <row r="783" ht="15" customHeight="1" s="16"/>
    <row r="784" ht="15" customHeight="1" s="16"/>
    <row r="785" ht="15" customHeight="1" s="16"/>
    <row r="786" ht="15" customHeight="1" s="16"/>
    <row r="787" ht="15" customHeight="1" s="16"/>
    <row r="788" ht="15" customHeight="1" s="16"/>
    <row r="789" ht="15" customHeight="1" s="16"/>
    <row r="790" ht="15" customHeight="1" s="16"/>
    <row r="791" ht="15" customHeight="1" s="16"/>
    <row r="792" ht="15" customHeight="1" s="16"/>
    <row r="793" ht="15" customHeight="1" s="16"/>
    <row r="794" ht="15" customHeight="1" s="16"/>
    <row r="795" ht="15" customHeight="1" s="16"/>
    <row r="796" ht="15" customHeight="1" s="16"/>
    <row r="797" ht="15" customHeight="1" s="16"/>
    <row r="798" ht="15" customHeight="1" s="16"/>
    <row r="799" ht="15" customHeight="1" s="16"/>
    <row r="800" ht="15" customHeight="1" s="16"/>
    <row r="801" ht="15" customHeight="1" s="16"/>
    <row r="802" ht="15" customHeight="1" s="16"/>
    <row r="803" ht="15" customHeight="1" s="16"/>
    <row r="804" ht="15" customHeight="1" s="16"/>
    <row r="805" ht="15" customHeight="1" s="16"/>
    <row r="806" ht="15" customHeight="1" s="16"/>
    <row r="807" ht="15" customHeight="1" s="16"/>
    <row r="808" ht="15" customHeight="1" s="16"/>
    <row r="809" ht="15" customHeight="1" s="16"/>
    <row r="810" ht="15" customHeight="1" s="16"/>
    <row r="811" ht="15" customHeight="1" s="16"/>
    <row r="812" ht="15" customHeight="1" s="16"/>
    <row r="813" ht="15" customHeight="1" s="16"/>
    <row r="814" ht="15" customHeight="1" s="16"/>
    <row r="815" ht="15" customHeight="1" s="16"/>
    <row r="816" ht="15" customHeight="1" s="16"/>
    <row r="817" ht="15" customHeight="1" s="16"/>
    <row r="818" ht="15" customHeight="1" s="16"/>
    <row r="819" ht="15" customHeight="1" s="16"/>
    <row r="820" ht="15" customHeight="1" s="16"/>
    <row r="821" ht="15" customHeight="1" s="16"/>
    <row r="822" ht="15" customHeight="1" s="16"/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5" min="1" max="5"/>
    <col width="15" customWidth="1" style="15" min="7" max="11"/>
  </cols>
  <sheetData>
    <row r="1" ht="43" customHeight="1" s="16">
      <c r="A1" s="17" t="inlineStr">
        <is>
          <t>Revenue per product computed live via SUMIF on 'Raw Data'. Products are listed in descending revenue order (determined once from the source data); cumulative % and ABC class recalculate live from the Revenue column. Class A = cumulative revenue up to 70%, B = 70-90%, C = 90-100%. [Data-free edition: the source data sheets were removed; cells that read from them hold the computed values.]</t>
        </is>
      </c>
    </row>
    <row r="2" ht="23.25" customHeight="1" s="16">
      <c r="A2" s="18" t="inlineStr">
        <is>
          <t>Product_Name</t>
        </is>
      </c>
      <c r="B2" s="18" t="inlineStr">
        <is>
          <t>Revenue (₹)</t>
        </is>
      </c>
      <c r="C2" s="18" t="inlineStr">
        <is>
          <t>Cumulative Revenue (₹)</t>
        </is>
      </c>
      <c r="D2" s="18" t="inlineStr">
        <is>
          <t>Cumulative %</t>
        </is>
      </c>
      <c r="E2" s="18" t="inlineStr">
        <is>
          <t>ABC_Class</t>
        </is>
      </c>
      <c r="G2" s="19" t="inlineStr">
        <is>
          <t>Class</t>
        </is>
      </c>
      <c r="H2" s="19" t="inlineStr">
        <is>
          <t>Products</t>
        </is>
      </c>
      <c r="I2" s="19" t="inlineStr">
        <is>
          <t>% of Products</t>
        </is>
      </c>
      <c r="J2" s="19" t="inlineStr">
        <is>
          <t>Revenue (₹)</t>
        </is>
      </c>
      <c r="K2" s="19" t="inlineStr">
        <is>
          <t>% of Revenue</t>
        </is>
      </c>
    </row>
    <row r="3" ht="15" customHeight="1" s="16">
      <c r="A3" s="15" t="inlineStr">
        <is>
          <t>Insulin Glargine</t>
        </is>
      </c>
      <c r="B3" s="21" t="n">
        <v>2351440</v>
      </c>
      <c r="C3" s="21">
        <f>SUM($B$3:B3)</f>
        <v/>
      </c>
      <c r="D3" s="22">
        <f>C3/SUM($B$3:$B$42)</f>
        <v/>
      </c>
      <c r="E3" s="15">
        <f>IF(D3&lt;=0.7,"A",IF(D3&lt;=0.9,"B","C"))</f>
        <v/>
      </c>
      <c r="G3" s="15" t="inlineStr">
        <is>
          <t>A</t>
        </is>
      </c>
      <c r="H3" s="15">
        <f>COUNTIF($E$3:$E$42,G3)</f>
        <v/>
      </c>
      <c r="I3" s="24">
        <f>H3/COUNTA($A$3:$A$42)</f>
        <v/>
      </c>
      <c r="J3" s="21">
        <f>SUMIF($E$3:$E$42,G3,$B$3:$B$42)</f>
        <v/>
      </c>
      <c r="K3" s="22">
        <f>J3/SUM($B$3:$B$42)</f>
        <v/>
      </c>
    </row>
    <row r="4" ht="15" customHeight="1" s="16">
      <c r="A4" s="15" t="inlineStr">
        <is>
          <t>Salbutamol Inhaler</t>
        </is>
      </c>
      <c r="B4" s="21" t="n">
        <v>590009.28</v>
      </c>
      <c r="C4" s="21">
        <f>SUM($B$3:B4)</f>
        <v/>
      </c>
      <c r="D4" s="22">
        <f>C4/SUM($B$3:$B$42)</f>
        <v/>
      </c>
      <c r="E4" s="15">
        <f>IF(D4&lt;=0.7,"A",IF(D4&lt;=0.9,"B","C"))</f>
        <v/>
      </c>
      <c r="G4" s="15" t="inlineStr">
        <is>
          <t>B</t>
        </is>
      </c>
      <c r="H4" s="15">
        <f>COUNTIF($E$3:$E$42,G4)</f>
        <v/>
      </c>
      <c r="I4" s="24">
        <f>H4/COUNTA($A$3:$A$42)</f>
        <v/>
      </c>
      <c r="J4" s="21">
        <f>SUMIF($E$3:$E$42,G4,$B$3:$B$42)</f>
        <v/>
      </c>
      <c r="K4" s="22">
        <f>J4/SUM($B$3:$B$42)</f>
        <v/>
      </c>
    </row>
    <row r="5" ht="15" customHeight="1" s="16">
      <c r="A5" s="15" t="inlineStr">
        <is>
          <t>Atorvastatin 10mg</t>
        </is>
      </c>
      <c r="B5" s="21" t="n">
        <v>497183.4</v>
      </c>
      <c r="C5" s="21">
        <f>SUM($B$3:B5)</f>
        <v/>
      </c>
      <c r="D5" s="22">
        <f>C5/SUM($B$3:$B$42)</f>
        <v/>
      </c>
      <c r="E5" s="15">
        <f>IF(D5&lt;=0.7,"A",IF(D5&lt;=0.9,"B","C"))</f>
        <v/>
      </c>
      <c r="G5" s="15" t="inlineStr">
        <is>
          <t>C</t>
        </is>
      </c>
      <c r="H5" s="15">
        <f>COUNTIF($E$3:$E$42,G5)</f>
        <v/>
      </c>
      <c r="I5" s="24">
        <f>H5/COUNTA($A$3:$A$42)</f>
        <v/>
      </c>
      <c r="J5" s="21">
        <f>SUMIF($E$3:$E$42,G5,$B$3:$B$42)</f>
        <v/>
      </c>
      <c r="K5" s="22">
        <f>J5/SUM($B$3:$B$42)</f>
        <v/>
      </c>
    </row>
    <row r="6" ht="15" customHeight="1" s="16">
      <c r="A6" s="15" t="inlineStr">
        <is>
          <t>Vitamin D3 60K</t>
        </is>
      </c>
      <c r="B6" s="21" t="n">
        <v>421835.84</v>
      </c>
      <c r="C6" s="21">
        <f>SUM($B$3:B6)</f>
        <v/>
      </c>
      <c r="D6" s="22">
        <f>C6/SUM($B$3:$B$42)</f>
        <v/>
      </c>
      <c r="E6" s="15">
        <f>IF(D6&lt;=0.7,"A",IF(D6&lt;=0.9,"B","C"))</f>
        <v/>
      </c>
    </row>
    <row r="7" ht="15" customHeight="1" s="16">
      <c r="A7" s="15" t="inlineStr">
        <is>
          <t>Volini Spray 100g</t>
        </is>
      </c>
      <c r="B7" s="21" t="n">
        <v>284619.99</v>
      </c>
      <c r="C7" s="21">
        <f>SUM($B$3:B7)</f>
        <v/>
      </c>
      <c r="D7" s="22">
        <f>C7/SUM($B$3:$B$42)</f>
        <v/>
      </c>
      <c r="E7" s="15">
        <f>IF(D7&lt;=0.7,"A",IF(D7&lt;=0.9,"B","C"))</f>
        <v/>
      </c>
    </row>
    <row r="8" ht="15" customHeight="1" s="16">
      <c r="A8" s="15" t="inlineStr">
        <is>
          <t>Glimepiride 2mg</t>
        </is>
      </c>
      <c r="B8" s="21" t="n">
        <v>276560.2</v>
      </c>
      <c r="C8" s="21">
        <f>SUM($B$3:B8)</f>
        <v/>
      </c>
      <c r="D8" s="22">
        <f>C8/SUM($B$3:$B$42)</f>
        <v/>
      </c>
      <c r="E8" s="15">
        <f>IF(D8&lt;=0.7,"A",IF(D8&lt;=0.9,"B","C"))</f>
        <v/>
      </c>
    </row>
    <row r="9" ht="15" customHeight="1" s="16">
      <c r="A9" s="15" t="inlineStr">
        <is>
          <t>Amlodipine 5mg</t>
        </is>
      </c>
      <c r="B9" s="21" t="n">
        <v>262251.36</v>
      </c>
      <c r="C9" s="21">
        <f>SUM($B$3:B9)</f>
        <v/>
      </c>
      <c r="D9" s="22">
        <f>C9/SUM($B$3:$B$42)</f>
        <v/>
      </c>
      <c r="E9" s="15">
        <f>IF(D9&lt;=0.7,"A",IF(D9&lt;=0.9,"B","C"))</f>
        <v/>
      </c>
    </row>
    <row r="10" ht="15" customHeight="1" s="16">
      <c r="A10" s="15" t="inlineStr">
        <is>
          <t>Calcium + D3</t>
        </is>
      </c>
      <c r="B10" s="21" t="n">
        <v>262144.08</v>
      </c>
      <c r="C10" s="21">
        <f>SUM($B$3:B10)</f>
        <v/>
      </c>
      <c r="D10" s="22">
        <f>C10/SUM($B$3:$B$42)</f>
        <v/>
      </c>
      <c r="E10" s="15">
        <f>IF(D10&lt;=0.7,"A",IF(D10&lt;=0.9,"B","C"))</f>
        <v/>
      </c>
    </row>
    <row r="11" ht="15" customHeight="1" s="16">
      <c r="A11" s="15" t="inlineStr">
        <is>
          <t>Levothyroxine 50mcg</t>
        </is>
      </c>
      <c r="B11" s="21" t="n">
        <v>257690.16</v>
      </c>
      <c r="C11" s="21">
        <f>SUM($B$3:B11)</f>
        <v/>
      </c>
      <c r="D11" s="22">
        <f>C11/SUM($B$3:$B$42)</f>
        <v/>
      </c>
      <c r="E11" s="15">
        <f>IF(D11&lt;=0.7,"A",IF(D11&lt;=0.9,"B","C"))</f>
        <v/>
      </c>
    </row>
    <row r="12" ht="15" customHeight="1" s="16">
      <c r="A12" s="15" t="inlineStr">
        <is>
          <t>Montelukast 10mg</t>
        </is>
      </c>
      <c r="B12" s="21" t="n">
        <v>235000.92</v>
      </c>
      <c r="C12" s="21">
        <f>SUM($B$3:B12)</f>
        <v/>
      </c>
      <c r="D12" s="22">
        <f>C12/SUM($B$3:$B$42)</f>
        <v/>
      </c>
      <c r="E12" s="15">
        <f>IF(D12&lt;=0.7,"A",IF(D12&lt;=0.9,"B","C"))</f>
        <v/>
      </c>
    </row>
    <row r="13" ht="15" customHeight="1" s="16">
      <c r="A13" s="15" t="inlineStr">
        <is>
          <t>Metoprolol 50mg</t>
        </is>
      </c>
      <c r="B13" s="21" t="n">
        <v>224967.12</v>
      </c>
      <c r="C13" s="21">
        <f>SUM($B$3:B13)</f>
        <v/>
      </c>
      <c r="D13" s="22">
        <f>C13/SUM($B$3:$B$42)</f>
        <v/>
      </c>
      <c r="E13" s="15">
        <f>IF(D13&lt;=0.7,"A",IF(D13&lt;=0.9,"B","C"))</f>
        <v/>
      </c>
    </row>
    <row r="14" ht="15" customHeight="1" s="16">
      <c r="A14" s="15" t="inlineStr">
        <is>
          <t>Vitamin C 500mg</t>
        </is>
      </c>
      <c r="B14" s="21" t="n">
        <v>195151.35</v>
      </c>
      <c r="C14" s="21">
        <f>SUM($B$3:B14)</f>
        <v/>
      </c>
      <c r="D14" s="22">
        <f>C14/SUM($B$3:$B$42)</f>
        <v/>
      </c>
      <c r="E14" s="15">
        <f>IF(D14&lt;=0.7,"A",IF(D14&lt;=0.9,"B","C"))</f>
        <v/>
      </c>
    </row>
    <row r="15" ht="15" customHeight="1" s="16">
      <c r="A15" s="15" t="inlineStr">
        <is>
          <t>Metformin 500mg</t>
        </is>
      </c>
      <c r="B15" s="21" t="n">
        <v>190699.6</v>
      </c>
      <c r="C15" s="21">
        <f>SUM($B$3:B15)</f>
        <v/>
      </c>
      <c r="D15" s="22">
        <f>C15/SUM($B$3:$B$42)</f>
        <v/>
      </c>
      <c r="E15" s="15">
        <f>IF(D15&lt;=0.7,"A",IF(D15&lt;=0.9,"B","C"))</f>
        <v/>
      </c>
    </row>
    <row r="16" ht="15" customHeight="1" s="16">
      <c r="A16" s="15" t="inlineStr">
        <is>
          <t>Moxifloxacin Eye Drops</t>
        </is>
      </c>
      <c r="B16" s="21" t="n">
        <v>188440.84</v>
      </c>
      <c r="C16" s="21">
        <f>SUM($B$3:B16)</f>
        <v/>
      </c>
      <c r="D16" s="22">
        <f>C16/SUM($B$3:$B$42)</f>
        <v/>
      </c>
      <c r="E16" s="15">
        <f>IF(D16&lt;=0.7,"A",IF(D16&lt;=0.9,"B","C"))</f>
        <v/>
      </c>
    </row>
    <row r="17" ht="15" customHeight="1" s="16">
      <c r="A17" s="15" t="inlineStr">
        <is>
          <t>Clonazepam 0.5mg</t>
        </is>
      </c>
      <c r="B17" s="21" t="n">
        <v>185312.4</v>
      </c>
      <c r="C17" s="21">
        <f>SUM($B$3:B17)</f>
        <v/>
      </c>
      <c r="D17" s="22">
        <f>C17/SUM($B$3:$B$42)</f>
        <v/>
      </c>
      <c r="E17" s="15">
        <f>IF(D17&lt;=0.7,"A",IF(D17&lt;=0.9,"B","C"))</f>
        <v/>
      </c>
    </row>
    <row r="18" ht="15" customHeight="1" s="16">
      <c r="A18" s="15" t="inlineStr">
        <is>
          <t>Calamine Lotion</t>
        </is>
      </c>
      <c r="B18" s="21" t="n">
        <v>173155.56</v>
      </c>
      <c r="C18" s="21">
        <f>SUM($B$3:B18)</f>
        <v/>
      </c>
      <c r="D18" s="22">
        <f>C18/SUM($B$3:$B$42)</f>
        <v/>
      </c>
      <c r="E18" s="15">
        <f>IF(D18&lt;=0.7,"A",IF(D18&lt;=0.9,"B","C"))</f>
        <v/>
      </c>
    </row>
    <row r="19" ht="15" customHeight="1" s="16">
      <c r="A19" s="15" t="inlineStr">
        <is>
          <t>Azithromycin 250mg</t>
        </is>
      </c>
      <c r="B19" s="21" t="n">
        <v>173127.36</v>
      </c>
      <c r="C19" s="21">
        <f>SUM($B$3:B19)</f>
        <v/>
      </c>
      <c r="D19" s="22">
        <f>C19/SUM($B$3:$B$42)</f>
        <v/>
      </c>
      <c r="E19" s="15">
        <f>IF(D19&lt;=0.7,"A",IF(D19&lt;=0.9,"B","C"))</f>
        <v/>
      </c>
    </row>
    <row r="20" ht="15" customHeight="1" s="16">
      <c r="A20" s="15" t="inlineStr">
        <is>
          <t>Pantoprazole 40mg</t>
        </is>
      </c>
      <c r="B20" s="21" t="n">
        <v>169477.28</v>
      </c>
      <c r="C20" s="21">
        <f>SUM($B$3:B20)</f>
        <v/>
      </c>
      <c r="D20" s="22">
        <f>C20/SUM($B$3:$B$42)</f>
        <v/>
      </c>
      <c r="E20" s="15">
        <f>IF(D20&lt;=0.7,"A",IF(D20&lt;=0.9,"B","C"))</f>
        <v/>
      </c>
    </row>
    <row r="21" ht="15" customHeight="1" s="16">
      <c r="A21" s="15" t="inlineStr">
        <is>
          <t>Alprazolam 0.25mg</t>
        </is>
      </c>
      <c r="B21" s="21" t="n">
        <v>154791.56</v>
      </c>
      <c r="C21" s="21">
        <f>SUM($B$3:B21)</f>
        <v/>
      </c>
      <c r="D21" s="22">
        <f>C21/SUM($B$3:$B$42)</f>
        <v/>
      </c>
      <c r="E21" s="15">
        <f>IF(D21&lt;=0.7,"A",IF(D21&lt;=0.9,"B","C"))</f>
        <v/>
      </c>
    </row>
    <row r="22" ht="15" customHeight="1" s="16">
      <c r="A22" s="15" t="inlineStr">
        <is>
          <t>Iron + Folic Syrup</t>
        </is>
      </c>
      <c r="B22" s="21" t="n">
        <v>142723.28</v>
      </c>
      <c r="C22" s="21">
        <f>SUM($B$3:B22)</f>
        <v/>
      </c>
      <c r="D22" s="22">
        <f>C22/SUM($B$3:$B$42)</f>
        <v/>
      </c>
      <c r="E22" s="15">
        <f>IF(D22&lt;=0.7,"A",IF(D22&lt;=0.9,"B","C"))</f>
        <v/>
      </c>
    </row>
    <row r="23" ht="15" customHeight="1" s="16">
      <c r="A23" s="15" t="inlineStr">
        <is>
          <t>Betamethasone Cream</t>
        </is>
      </c>
      <c r="B23" s="21" t="n">
        <v>141907.47</v>
      </c>
      <c r="C23" s="21">
        <f>SUM($B$3:B23)</f>
        <v/>
      </c>
      <c r="D23" s="22">
        <f>C23/SUM($B$3:$B$42)</f>
        <v/>
      </c>
      <c r="E23" s="15">
        <f>IF(D23&lt;=0.7,"A",IF(D23&lt;=0.9,"B","C"))</f>
        <v/>
      </c>
    </row>
    <row r="24" ht="15" customHeight="1" s="16">
      <c r="A24" s="15" t="inlineStr">
        <is>
          <t>B-Complex Tablets</t>
        </is>
      </c>
      <c r="B24" s="21" t="n">
        <v>139530.91</v>
      </c>
      <c r="C24" s="21">
        <f>SUM($B$3:B24)</f>
        <v/>
      </c>
      <c r="D24" s="22">
        <f>C24/SUM($B$3:$B$42)</f>
        <v/>
      </c>
      <c r="E24" s="15">
        <f>IF(D24&lt;=0.7,"A",IF(D24&lt;=0.9,"B","C"))</f>
        <v/>
      </c>
    </row>
    <row r="25" ht="15" customHeight="1" s="16">
      <c r="A25" s="15" t="inlineStr">
        <is>
          <t>Dettol Antiseptic 100ml</t>
        </is>
      </c>
      <c r="B25" s="21" t="n">
        <v>135411.35</v>
      </c>
      <c r="C25" s="21">
        <f>SUM($B$3:B25)</f>
        <v/>
      </c>
      <c r="D25" s="22">
        <f>C25/SUM($B$3:$B$42)</f>
        <v/>
      </c>
      <c r="E25" s="15">
        <f>IF(D25&lt;=0.7,"A",IF(D25&lt;=0.9,"B","C"))</f>
        <v/>
      </c>
    </row>
    <row r="26" ht="15" customHeight="1" s="16">
      <c r="A26" s="15" t="inlineStr">
        <is>
          <t>Vicks VapoRub 25g</t>
        </is>
      </c>
      <c r="B26" s="21" t="n">
        <v>134088.52</v>
      </c>
      <c r="C26" s="21">
        <f>SUM($B$3:B26)</f>
        <v/>
      </c>
      <c r="D26" s="22">
        <f>C26/SUM($B$3:$B$42)</f>
        <v/>
      </c>
      <c r="E26" s="15">
        <f>IF(D26&lt;=0.7,"A",IF(D26&lt;=0.9,"B","C"))</f>
        <v/>
      </c>
    </row>
    <row r="27" ht="15" customHeight="1" s="16">
      <c r="A27" s="15" t="inlineStr">
        <is>
          <t>Omeprazole 20mg</t>
        </is>
      </c>
      <c r="B27" s="21" t="n">
        <v>132963.6</v>
      </c>
      <c r="C27" s="21">
        <f>SUM($B$3:B27)</f>
        <v/>
      </c>
      <c r="D27" s="22">
        <f>C27/SUM($B$3:$B$42)</f>
        <v/>
      </c>
      <c r="E27" s="15">
        <f>IF(D27&lt;=0.7,"A",IF(D27&lt;=0.9,"B","C"))</f>
        <v/>
      </c>
    </row>
    <row r="28" ht="15" customHeight="1" s="16">
      <c r="A28" s="15" t="inlineStr">
        <is>
          <t>Digene Syrup</t>
        </is>
      </c>
      <c r="B28" s="21" t="n">
        <v>112150.36</v>
      </c>
      <c r="C28" s="21">
        <f>SUM($B$3:B28)</f>
        <v/>
      </c>
      <c r="D28" s="22">
        <f>C28/SUM($B$3:$B$42)</f>
        <v/>
      </c>
      <c r="E28" s="15">
        <f>IF(D28&lt;=0.7,"A",IF(D28&lt;=0.9,"B","C"))</f>
        <v/>
      </c>
    </row>
    <row r="29" ht="15" customHeight="1" s="16">
      <c r="A29" s="15" t="inlineStr">
        <is>
          <t>Ciprofloxacin Eye Drops</t>
        </is>
      </c>
      <c r="B29" s="21" t="n">
        <v>111688.64</v>
      </c>
      <c r="C29" s="21">
        <f>SUM($B$3:B29)</f>
        <v/>
      </c>
      <c r="D29" s="22">
        <f>C29/SUM($B$3:$B$42)</f>
        <v/>
      </c>
      <c r="E29" s="15">
        <f>IF(D29&lt;=0.7,"A",IF(D29&lt;=0.9,"B","C"))</f>
        <v/>
      </c>
    </row>
    <row r="30" ht="15" customHeight="1" s="16">
      <c r="A30" s="15" t="inlineStr">
        <is>
          <t>Amoxicillin 500mg</t>
        </is>
      </c>
      <c r="B30" s="21" t="n">
        <v>110046.44</v>
      </c>
      <c r="C30" s="21">
        <f>SUM($B$3:B30)</f>
        <v/>
      </c>
      <c r="D30" s="22">
        <f>C30/SUM($B$3:$B$42)</f>
        <v/>
      </c>
      <c r="E30" s="15">
        <f>IF(D30&lt;=0.7,"A",IF(D30&lt;=0.9,"B","C"))</f>
        <v/>
      </c>
    </row>
    <row r="31" ht="15" customHeight="1" s="16">
      <c r="A31" s="15" t="inlineStr">
        <is>
          <t>Clotrimazole Cream</t>
        </is>
      </c>
      <c r="B31" s="21" t="n">
        <v>108416.56</v>
      </c>
      <c r="C31" s="21">
        <f>SUM($B$3:B31)</f>
        <v/>
      </c>
      <c r="D31" s="22">
        <f>C31/SUM($B$3:$B$42)</f>
        <v/>
      </c>
      <c r="E31" s="15">
        <f>IF(D31&lt;=0.7,"A",IF(D31&lt;=0.9,"B","C"))</f>
        <v/>
      </c>
    </row>
    <row r="32" ht="15" customHeight="1" s="16">
      <c r="A32" s="15" t="inlineStr">
        <is>
          <t>Levocetrizine 5mg</t>
        </is>
      </c>
      <c r="B32" s="21" t="n">
        <v>107212</v>
      </c>
      <c r="C32" s="21">
        <f>SUM($B$3:B32)</f>
        <v/>
      </c>
      <c r="D32" s="22">
        <f>C32/SUM($B$3:$B$42)</f>
        <v/>
      </c>
      <c r="E32" s="15">
        <f>IF(D32&lt;=0.7,"A",IF(D32&lt;=0.9,"B","C"))</f>
        <v/>
      </c>
    </row>
    <row r="33" ht="15" customHeight="1" s="16">
      <c r="A33" s="15" t="inlineStr">
        <is>
          <t>Band-Aid Pack</t>
        </is>
      </c>
      <c r="B33" s="21" t="n">
        <v>105951.95</v>
      </c>
      <c r="C33" s="21">
        <f>SUM($B$3:B33)</f>
        <v/>
      </c>
      <c r="D33" s="22">
        <f>C33/SUM($B$3:$B$42)</f>
        <v/>
      </c>
      <c r="E33" s="15">
        <f>IF(D33&lt;=0.7,"A",IF(D33&lt;=0.9,"B","C"))</f>
        <v/>
      </c>
    </row>
    <row r="34" ht="15" customHeight="1" s="16">
      <c r="A34" s="15" t="inlineStr">
        <is>
          <t>Cetirizine Syrup</t>
        </is>
      </c>
      <c r="B34" s="21" t="n">
        <v>105481.6</v>
      </c>
      <c r="C34" s="21">
        <f>SUM($B$3:B34)</f>
        <v/>
      </c>
      <c r="D34" s="22">
        <f>C34/SUM($B$3:$B$42)</f>
        <v/>
      </c>
      <c r="E34" s="15">
        <f>IF(D34&lt;=0.7,"A",IF(D34&lt;=0.9,"B","C"))</f>
        <v/>
      </c>
    </row>
    <row r="35" ht="15" customHeight="1" s="16">
      <c r="A35" s="15" t="inlineStr">
        <is>
          <t>Ranitidine 150mg</t>
        </is>
      </c>
      <c r="B35" s="21" t="n">
        <v>101900.4</v>
      </c>
      <c r="C35" s="21">
        <f>SUM($B$3:B35)</f>
        <v/>
      </c>
      <c r="D35" s="22">
        <f>C35/SUM($B$3:$B$42)</f>
        <v/>
      </c>
      <c r="E35" s="15">
        <f>IF(D35&lt;=0.7,"A",IF(D35&lt;=0.9,"B","C"))</f>
        <v/>
      </c>
    </row>
    <row r="36" ht="15" customHeight="1" s="16">
      <c r="A36" s="15" t="inlineStr">
        <is>
          <t>Paracetamol Syrup</t>
        </is>
      </c>
      <c r="B36" s="21" t="n">
        <v>88652.2</v>
      </c>
      <c r="C36" s="21">
        <f>SUM($B$3:B36)</f>
        <v/>
      </c>
      <c r="D36" s="22">
        <f>C36/SUM($B$3:$B$42)</f>
        <v/>
      </c>
      <c r="E36" s="15">
        <f>IF(D36&lt;=0.7,"A",IF(D36&lt;=0.9,"B","C"))</f>
        <v/>
      </c>
    </row>
    <row r="37" ht="15" customHeight="1" s="16">
      <c r="A37" s="15" t="inlineStr">
        <is>
          <t>Diclofenac 50mg</t>
        </is>
      </c>
      <c r="B37" s="21" t="n">
        <v>74958.24000000001</v>
      </c>
      <c r="C37" s="21">
        <f>SUM($B$3:B37)</f>
        <v/>
      </c>
      <c r="D37" s="22">
        <f>C37/SUM($B$3:$B$42)</f>
        <v/>
      </c>
      <c r="E37" s="15">
        <f>IF(D37&lt;=0.7,"A",IF(D37&lt;=0.9,"B","C"))</f>
        <v/>
      </c>
    </row>
    <row r="38" ht="15" customHeight="1" s="16">
      <c r="A38" s="15" t="inlineStr">
        <is>
          <t>Ibuprofen 400mg</t>
        </is>
      </c>
      <c r="B38" s="21" t="n">
        <v>71683.92</v>
      </c>
      <c r="C38" s="21">
        <f>SUM($B$3:B38)</f>
        <v/>
      </c>
      <c r="D38" s="22">
        <f>C38/SUM($B$3:$B$42)</f>
        <v/>
      </c>
      <c r="E38" s="15">
        <f>IF(D38&lt;=0.7,"A",IF(D38&lt;=0.9,"B","C"))</f>
        <v/>
      </c>
    </row>
    <row r="39" ht="15" customHeight="1" s="16">
      <c r="A39" s="15" t="inlineStr">
        <is>
          <t>Cetirizine 10mg</t>
        </is>
      </c>
      <c r="B39" s="21" t="n">
        <v>67939.2</v>
      </c>
      <c r="C39" s="21">
        <f>SUM($B$3:B39)</f>
        <v/>
      </c>
      <c r="D39" s="22">
        <f>C39/SUM($B$3:$B$42)</f>
        <v/>
      </c>
      <c r="E39" s="15">
        <f>IF(D39&lt;=0.7,"A",IF(D39&lt;=0.9,"B","C"))</f>
        <v/>
      </c>
    </row>
    <row r="40" ht="15" customHeight="1" s="16">
      <c r="A40" s="15" t="inlineStr">
        <is>
          <t>Folic Acid 5mg</t>
        </is>
      </c>
      <c r="B40" s="21" t="n">
        <v>59172.12</v>
      </c>
      <c r="C40" s="21">
        <f>SUM($B$3:B40)</f>
        <v/>
      </c>
      <c r="D40" s="22">
        <f>C40/SUM($B$3:$B$42)</f>
        <v/>
      </c>
      <c r="E40" s="15">
        <f>IF(D40&lt;=0.7,"A",IF(D40&lt;=0.9,"B","C"))</f>
        <v/>
      </c>
    </row>
    <row r="41" ht="15" customHeight="1" s="16">
      <c r="A41" s="15" t="inlineStr">
        <is>
          <t>Paracetamol 500mg</t>
        </is>
      </c>
      <c r="B41" s="21" t="n">
        <v>29510.6</v>
      </c>
      <c r="C41" s="21">
        <f>SUM($B$3:B41)</f>
        <v/>
      </c>
      <c r="D41" s="22">
        <f>C41/SUM($B$3:$B$42)</f>
        <v/>
      </c>
      <c r="E41" s="15">
        <f>IF(D41&lt;=0.7,"A",IF(D41&lt;=0.9,"B","C"))</f>
        <v/>
      </c>
    </row>
    <row r="42" ht="15" customHeight="1" s="16">
      <c r="A42" s="15" t="inlineStr">
        <is>
          <t>ORS Sachet</t>
        </is>
      </c>
      <c r="B42" s="21" t="n">
        <v>20039.88</v>
      </c>
      <c r="C42" s="21">
        <f>SUM($B$3:B42)</f>
        <v/>
      </c>
      <c r="D42" s="22">
        <f>C42/SUM($B$3:$B$42)</f>
        <v/>
      </c>
      <c r="E42" s="15">
        <f>IF(D42&lt;=0.7,"A",IF(D42&lt;=0.9,"B","C"))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5" min="1" max="14"/>
    <col width="15" customWidth="1" style="15" min="16" max="19"/>
  </cols>
  <sheetData>
    <row r="1" ht="43" customHeight="1" s="16">
      <c r="A1" s="17" t="inlineStr">
        <is>
          <t>Monthly unit demand per product computed live via SUMIFS on 'Raw Data' (date range per calendar month). CV% = sample standard deviation / mean across the six months. XYZ class: X (CV&lt;=20%) stable, Y (20-40%) moderately variable, Z (&gt;40%) highly variable. ABC_Class is looked up from the 'ABC Analysis' sheet. [Data-free edition: the source data sheets were removed; cells that read from them hold the computed values.]</t>
        </is>
      </c>
    </row>
    <row r="2" ht="23.25" customHeight="1" s="16">
      <c r="A2" s="18" t="inlineStr">
        <is>
          <t>Product_Name</t>
        </is>
      </c>
      <c r="B2" s="18" t="inlineStr">
        <is>
          <t>Jan-24</t>
        </is>
      </c>
      <c r="C2" s="18" t="inlineStr">
        <is>
          <t>Feb-24</t>
        </is>
      </c>
      <c r="D2" s="18" t="inlineStr">
        <is>
          <t>Mar-24</t>
        </is>
      </c>
      <c r="E2" s="18" t="inlineStr">
        <is>
          <t>Apr-24</t>
        </is>
      </c>
      <c r="F2" s="18" t="inlineStr">
        <is>
          <t>May-24</t>
        </is>
      </c>
      <c r="G2" s="18" t="inlineStr">
        <is>
          <t>Jun-24</t>
        </is>
      </c>
      <c r="H2" s="18" t="inlineStr">
        <is>
          <t>Mean</t>
        </is>
      </c>
      <c r="I2" s="18" t="inlineStr">
        <is>
          <t>StdDev (sample)</t>
        </is>
      </c>
      <c r="J2" s="18" t="inlineStr">
        <is>
          <t>CV %</t>
        </is>
      </c>
      <c r="K2" s="18" t="inlineStr">
        <is>
          <t>XYZ_Class</t>
        </is>
      </c>
      <c r="L2" s="18" t="inlineStr">
        <is>
          <t>ABC_Class</t>
        </is>
      </c>
      <c r="M2" s="18" t="inlineStr">
        <is>
          <t>ABC_XYZ</t>
        </is>
      </c>
      <c r="N2" s="18" t="inlineStr">
        <is>
          <t>Revenue (₹)</t>
        </is>
      </c>
      <c r="P2" s="19" t="inlineStr">
        <is>
          <t>ABC_XYZ</t>
        </is>
      </c>
      <c r="Q2" s="19" t="inlineStr">
        <is>
          <t>Products</t>
        </is>
      </c>
      <c r="R2" s="19" t="inlineStr">
        <is>
          <t>Revenue (₹)</t>
        </is>
      </c>
      <c r="S2" s="19" t="inlineStr">
        <is>
          <t>Revenue Share</t>
        </is>
      </c>
    </row>
    <row r="3" ht="15" customHeight="1" s="16">
      <c r="A3" s="15" t="inlineStr">
        <is>
          <t>Insulin Glargine</t>
        </is>
      </c>
      <c r="B3" s="15" t="n">
        <v>453</v>
      </c>
      <c r="C3" s="15" t="n">
        <v>426</v>
      </c>
      <c r="D3" s="15" t="n">
        <v>449</v>
      </c>
      <c r="E3" s="15" t="n">
        <v>405</v>
      </c>
      <c r="F3" s="15" t="n">
        <v>378</v>
      </c>
      <c r="G3" s="15" t="n">
        <v>452</v>
      </c>
      <c r="H3" s="15">
        <f>AVERAGE(B3:G3)</f>
        <v/>
      </c>
      <c r="I3" s="23">
        <f>STDEV(B3:G3)</f>
        <v/>
      </c>
      <c r="J3" s="23">
        <f>I3/H3*100</f>
        <v/>
      </c>
      <c r="K3" s="15">
        <f>IF(J3&lt;=20,"X",IF(J3&lt;=40,"Y","Z"))</f>
        <v/>
      </c>
      <c r="L3" s="15">
        <f>INDEX('ABC Analysis'!$E$3:$E$42,MATCH(A3,'ABC Analysis'!$A$3:$A$42,0))</f>
        <v/>
      </c>
      <c r="M3" s="15">
        <f>L3&amp;K3</f>
        <v/>
      </c>
      <c r="N3" s="21">
        <f>INDEX('ABC Analysis'!$B$3:$B$42,MATCH(A3,'ABC Analysis'!$A$3:$A$42,0))</f>
        <v/>
      </c>
      <c r="P3" s="15" t="inlineStr">
        <is>
          <t>AX</t>
        </is>
      </c>
      <c r="Q3" s="15">
        <f>COUNTIF($M$3:$M$42,P3)</f>
        <v/>
      </c>
      <c r="R3" s="21">
        <f>SUMIF($M$3:$M$42,P3,$N$3:$N$42)</f>
        <v/>
      </c>
      <c r="S3" s="22">
        <f>R3/SUM($N$3:$N$42)</f>
        <v/>
      </c>
    </row>
    <row r="4" ht="15" customHeight="1" s="16">
      <c r="A4" s="15" t="inlineStr">
        <is>
          <t>Salbutamol Inhaler</t>
        </is>
      </c>
      <c r="B4" s="15" t="n">
        <v>344</v>
      </c>
      <c r="C4" s="15" t="n">
        <v>301</v>
      </c>
      <c r="D4" s="15" t="n">
        <v>229</v>
      </c>
      <c r="E4" s="15" t="n">
        <v>131</v>
      </c>
      <c r="F4" s="15" t="n">
        <v>178</v>
      </c>
      <c r="G4" s="15" t="n">
        <v>254</v>
      </c>
      <c r="H4" s="15">
        <f>AVERAGE(B4:G4)</f>
        <v/>
      </c>
      <c r="I4" s="23">
        <f>STDEV(B4:G4)</f>
        <v/>
      </c>
      <c r="J4" s="23">
        <f>I4/H4*100</f>
        <v/>
      </c>
      <c r="K4" s="15">
        <f>IF(J4&lt;=20,"X",IF(J4&lt;=40,"Y","Z"))</f>
        <v/>
      </c>
      <c r="L4" s="15">
        <f>INDEX('ABC Analysis'!$E$3:$E$42,MATCH(A4,'ABC Analysis'!$A$3:$A$42,0))</f>
        <v/>
      </c>
      <c r="M4" s="15">
        <f>L4&amp;K4</f>
        <v/>
      </c>
      <c r="N4" s="21">
        <f>INDEX('ABC Analysis'!$B$3:$B$42,MATCH(A4,'ABC Analysis'!$A$3:$A$42,0))</f>
        <v/>
      </c>
      <c r="P4" s="15" t="inlineStr">
        <is>
          <t>AY</t>
        </is>
      </c>
      <c r="Q4" s="15">
        <f>COUNTIF($M$3:$M$42,P4)</f>
        <v/>
      </c>
      <c r="R4" s="21">
        <f>SUMIF($M$3:$M$42,P4,$N$3:$N$42)</f>
        <v/>
      </c>
      <c r="S4" s="22">
        <f>R4/SUM($N$3:$N$42)</f>
        <v/>
      </c>
    </row>
    <row r="5" ht="15" customHeight="1" s="16">
      <c r="A5" s="15" t="inlineStr">
        <is>
          <t>Atorvastatin 10mg</t>
        </is>
      </c>
      <c r="B5" s="15" t="n">
        <v>413</v>
      </c>
      <c r="C5" s="15" t="n">
        <v>469</v>
      </c>
      <c r="D5" s="15" t="n">
        <v>452</v>
      </c>
      <c r="E5" s="15" t="n">
        <v>425</v>
      </c>
      <c r="F5" s="15" t="n">
        <v>439</v>
      </c>
      <c r="G5" s="15" t="n">
        <v>419</v>
      </c>
      <c r="H5" s="15">
        <f>AVERAGE(B5:G5)</f>
        <v/>
      </c>
      <c r="I5" s="23">
        <f>STDEV(B5:G5)</f>
        <v/>
      </c>
      <c r="J5" s="23">
        <f>I5/H5*100</f>
        <v/>
      </c>
      <c r="K5" s="15">
        <f>IF(J5&lt;=20,"X",IF(J5&lt;=40,"Y","Z"))</f>
        <v/>
      </c>
      <c r="L5" s="15">
        <f>INDEX('ABC Analysis'!$E$3:$E$42,MATCH(A5,'ABC Analysis'!$A$3:$A$42,0))</f>
        <v/>
      </c>
      <c r="M5" s="15">
        <f>L5&amp;K5</f>
        <v/>
      </c>
      <c r="N5" s="21">
        <f>INDEX('ABC Analysis'!$B$3:$B$42,MATCH(A5,'ABC Analysis'!$A$3:$A$42,0))</f>
        <v/>
      </c>
      <c r="P5" s="15" t="inlineStr">
        <is>
          <t>AZ</t>
        </is>
      </c>
      <c r="Q5" s="15">
        <f>COUNTIF($M$3:$M$42,P5)</f>
        <v/>
      </c>
      <c r="R5" s="21">
        <f>SUMIF($M$3:$M$42,P5,$N$3:$N$42)</f>
        <v/>
      </c>
      <c r="S5" s="22">
        <f>R5/SUM($N$3:$N$42)</f>
        <v/>
      </c>
    </row>
    <row r="6" ht="15" customHeight="1" s="16">
      <c r="A6" s="15" t="inlineStr">
        <is>
          <t>Vitamin D3 60K</t>
        </is>
      </c>
      <c r="B6" s="15" t="n">
        <v>164</v>
      </c>
      <c r="C6" s="15" t="n">
        <v>164</v>
      </c>
      <c r="D6" s="15" t="n">
        <v>215</v>
      </c>
      <c r="E6" s="15" t="n">
        <v>248</v>
      </c>
      <c r="F6" s="15" t="n">
        <v>223</v>
      </c>
      <c r="G6" s="15" t="n">
        <v>144</v>
      </c>
      <c r="H6" s="15">
        <f>AVERAGE(B6:G6)</f>
        <v/>
      </c>
      <c r="I6" s="23">
        <f>STDEV(B6:G6)</f>
        <v/>
      </c>
      <c r="J6" s="23">
        <f>I6/H6*100</f>
        <v/>
      </c>
      <c r="K6" s="15">
        <f>IF(J6&lt;=20,"X",IF(J6&lt;=40,"Y","Z"))</f>
        <v/>
      </c>
      <c r="L6" s="15">
        <f>INDEX('ABC Analysis'!$E$3:$E$42,MATCH(A6,'ABC Analysis'!$A$3:$A$42,0))</f>
        <v/>
      </c>
      <c r="M6" s="15">
        <f>L6&amp;K6</f>
        <v/>
      </c>
      <c r="N6" s="21">
        <f>INDEX('ABC Analysis'!$B$3:$B$42,MATCH(A6,'ABC Analysis'!$A$3:$A$42,0))</f>
        <v/>
      </c>
      <c r="P6" s="15" t="inlineStr">
        <is>
          <t>BX</t>
        </is>
      </c>
      <c r="Q6" s="15">
        <f>COUNTIF($M$3:$M$42,P6)</f>
        <v/>
      </c>
      <c r="R6" s="21">
        <f>SUMIF($M$3:$M$42,P6,$N$3:$N$42)</f>
        <v/>
      </c>
      <c r="S6" s="22">
        <f>R6/SUM($N$3:$N$42)</f>
        <v/>
      </c>
    </row>
    <row r="7" ht="15" customHeight="1" s="16">
      <c r="A7" s="15" t="inlineStr">
        <is>
          <t>Volini Spray 100g</t>
        </is>
      </c>
      <c r="B7" s="15" t="n">
        <v>243</v>
      </c>
      <c r="C7" s="15" t="n">
        <v>171</v>
      </c>
      <c r="D7" s="15" t="n">
        <v>193</v>
      </c>
      <c r="E7" s="15" t="n">
        <v>184</v>
      </c>
      <c r="F7" s="15" t="n">
        <v>245</v>
      </c>
      <c r="G7" s="15" t="n">
        <v>312</v>
      </c>
      <c r="H7" s="15">
        <f>AVERAGE(B7:G7)</f>
        <v/>
      </c>
      <c r="I7" s="23">
        <f>STDEV(B7:G7)</f>
        <v/>
      </c>
      <c r="J7" s="23">
        <f>I7/H7*100</f>
        <v/>
      </c>
      <c r="K7" s="15">
        <f>IF(J7&lt;=20,"X",IF(J7&lt;=40,"Y","Z"))</f>
        <v/>
      </c>
      <c r="L7" s="15">
        <f>INDEX('ABC Analysis'!$E$3:$E$42,MATCH(A7,'ABC Analysis'!$A$3:$A$42,0))</f>
        <v/>
      </c>
      <c r="M7" s="15">
        <f>L7&amp;K7</f>
        <v/>
      </c>
      <c r="N7" s="21">
        <f>INDEX('ABC Analysis'!$B$3:$B$42,MATCH(A7,'ABC Analysis'!$A$3:$A$42,0))</f>
        <v/>
      </c>
      <c r="P7" s="15" t="inlineStr">
        <is>
          <t>BY</t>
        </is>
      </c>
      <c r="Q7" s="15">
        <f>COUNTIF($M$3:$M$42,P7)</f>
        <v/>
      </c>
      <c r="R7" s="21">
        <f>SUMIF($M$3:$M$42,P7,$N$3:$N$42)</f>
        <v/>
      </c>
      <c r="S7" s="22">
        <f>R7/SUM($N$3:$N$42)</f>
        <v/>
      </c>
    </row>
    <row r="8" ht="15" customHeight="1" s="16">
      <c r="A8" s="15" t="inlineStr">
        <is>
          <t>Glimepiride 2mg</t>
        </is>
      </c>
      <c r="B8" s="15" t="n">
        <v>438</v>
      </c>
      <c r="C8" s="15" t="n">
        <v>389</v>
      </c>
      <c r="D8" s="15" t="n">
        <v>570</v>
      </c>
      <c r="E8" s="15" t="n">
        <v>415</v>
      </c>
      <c r="F8" s="15" t="n">
        <v>438</v>
      </c>
      <c r="G8" s="15" t="n">
        <v>449</v>
      </c>
      <c r="H8" s="15">
        <f>AVERAGE(B8:G8)</f>
        <v/>
      </c>
      <c r="I8" s="23">
        <f>STDEV(B8:G8)</f>
        <v/>
      </c>
      <c r="J8" s="23">
        <f>I8/H8*100</f>
        <v/>
      </c>
      <c r="K8" s="15">
        <f>IF(J8&lt;=20,"X",IF(J8&lt;=40,"Y","Z"))</f>
        <v/>
      </c>
      <c r="L8" s="15">
        <f>INDEX('ABC Analysis'!$E$3:$E$42,MATCH(A8,'ABC Analysis'!$A$3:$A$42,0))</f>
        <v/>
      </c>
      <c r="M8" s="15">
        <f>L8&amp;K8</f>
        <v/>
      </c>
      <c r="N8" s="21">
        <f>INDEX('ABC Analysis'!$B$3:$B$42,MATCH(A8,'ABC Analysis'!$A$3:$A$42,0))</f>
        <v/>
      </c>
      <c r="P8" s="15" t="inlineStr">
        <is>
          <t>BZ</t>
        </is>
      </c>
      <c r="Q8" s="15">
        <f>COUNTIF($M$3:$M$42,P8)</f>
        <v/>
      </c>
      <c r="R8" s="21">
        <f>SUMIF($M$3:$M$42,P8,$N$3:$N$42)</f>
        <v/>
      </c>
      <c r="S8" s="22">
        <f>R8/SUM($N$3:$N$42)</f>
        <v/>
      </c>
    </row>
    <row r="9" ht="15" customHeight="1" s="16">
      <c r="A9" s="15" t="inlineStr">
        <is>
          <t>Amlodipine 5mg</t>
        </is>
      </c>
      <c r="B9" s="15" t="n">
        <v>431</v>
      </c>
      <c r="C9" s="15" t="n">
        <v>476</v>
      </c>
      <c r="D9" s="15" t="n">
        <v>477</v>
      </c>
      <c r="E9" s="15" t="n">
        <v>468</v>
      </c>
      <c r="F9" s="15" t="n">
        <v>500</v>
      </c>
      <c r="G9" s="15" t="n">
        <v>345</v>
      </c>
      <c r="H9" s="15">
        <f>AVERAGE(B9:G9)</f>
        <v/>
      </c>
      <c r="I9" s="23">
        <f>STDEV(B9:G9)</f>
        <v/>
      </c>
      <c r="J9" s="23">
        <f>I9/H9*100</f>
        <v/>
      </c>
      <c r="K9" s="15">
        <f>IF(J9&lt;=20,"X",IF(J9&lt;=40,"Y","Z"))</f>
        <v/>
      </c>
      <c r="L9" s="15">
        <f>INDEX('ABC Analysis'!$E$3:$E$42,MATCH(A9,'ABC Analysis'!$A$3:$A$42,0))</f>
        <v/>
      </c>
      <c r="M9" s="15">
        <f>L9&amp;K9</f>
        <v/>
      </c>
      <c r="N9" s="21">
        <f>INDEX('ABC Analysis'!$B$3:$B$42,MATCH(A9,'ABC Analysis'!$A$3:$A$42,0))</f>
        <v/>
      </c>
      <c r="P9" s="15" t="inlineStr">
        <is>
          <t>CX</t>
        </is>
      </c>
      <c r="Q9" s="15">
        <f>COUNTIF($M$3:$M$42,P9)</f>
        <v/>
      </c>
      <c r="R9" s="21">
        <f>SUMIF($M$3:$M$42,P9,$N$3:$N$42)</f>
        <v/>
      </c>
      <c r="S9" s="22">
        <f>R9/SUM($N$3:$N$42)</f>
        <v/>
      </c>
    </row>
    <row r="10" ht="15" customHeight="1" s="16">
      <c r="A10" s="15" t="inlineStr">
        <is>
          <t>Calcium + D3</t>
        </is>
      </c>
      <c r="B10" s="15" t="n">
        <v>209</v>
      </c>
      <c r="C10" s="15" t="n">
        <v>180</v>
      </c>
      <c r="D10" s="15" t="n">
        <v>299</v>
      </c>
      <c r="E10" s="15" t="n">
        <v>220</v>
      </c>
      <c r="F10" s="15" t="n">
        <v>197</v>
      </c>
      <c r="G10" s="15" t="n">
        <v>173</v>
      </c>
      <c r="H10" s="15">
        <f>AVERAGE(B10:G10)</f>
        <v/>
      </c>
      <c r="I10" s="23">
        <f>STDEV(B10:G10)</f>
        <v/>
      </c>
      <c r="J10" s="23">
        <f>I10/H10*100</f>
        <v/>
      </c>
      <c r="K10" s="15">
        <f>IF(J10&lt;=20,"X",IF(J10&lt;=40,"Y","Z"))</f>
        <v/>
      </c>
      <c r="L10" s="15">
        <f>INDEX('ABC Analysis'!$E$3:$E$42,MATCH(A10,'ABC Analysis'!$A$3:$A$42,0))</f>
        <v/>
      </c>
      <c r="M10" s="15">
        <f>L10&amp;K10</f>
        <v/>
      </c>
      <c r="N10" s="21">
        <f>INDEX('ABC Analysis'!$B$3:$B$42,MATCH(A10,'ABC Analysis'!$A$3:$A$42,0))</f>
        <v/>
      </c>
      <c r="P10" s="15" t="inlineStr">
        <is>
          <t>CY</t>
        </is>
      </c>
      <c r="Q10" s="15">
        <f>COUNTIF($M$3:$M$42,P10)</f>
        <v/>
      </c>
      <c r="R10" s="21">
        <f>SUMIF($M$3:$M$42,P10,$N$3:$N$42)</f>
        <v/>
      </c>
      <c r="S10" s="22">
        <f>R10/SUM($N$3:$N$42)</f>
        <v/>
      </c>
    </row>
    <row r="11" ht="15" customHeight="1" s="16">
      <c r="A11" s="15" t="inlineStr">
        <is>
          <t>Levothyroxine 50mcg</t>
        </is>
      </c>
      <c r="B11" s="15" t="n">
        <v>389</v>
      </c>
      <c r="C11" s="15" t="n">
        <v>438</v>
      </c>
      <c r="D11" s="15" t="n">
        <v>484</v>
      </c>
      <c r="E11" s="15" t="n">
        <v>439</v>
      </c>
      <c r="F11" s="15" t="n">
        <v>394</v>
      </c>
      <c r="G11" s="15" t="n">
        <v>364</v>
      </c>
      <c r="H11" s="15">
        <f>AVERAGE(B11:G11)</f>
        <v/>
      </c>
      <c r="I11" s="23">
        <f>STDEV(B11:G11)</f>
        <v/>
      </c>
      <c r="J11" s="23">
        <f>I11/H11*100</f>
        <v/>
      </c>
      <c r="K11" s="15">
        <f>IF(J11&lt;=20,"X",IF(J11&lt;=40,"Y","Z"))</f>
        <v/>
      </c>
      <c r="L11" s="15">
        <f>INDEX('ABC Analysis'!$E$3:$E$42,MATCH(A11,'ABC Analysis'!$A$3:$A$42,0))</f>
        <v/>
      </c>
      <c r="M11" s="15">
        <f>L11&amp;K11</f>
        <v/>
      </c>
      <c r="N11" s="21">
        <f>INDEX('ABC Analysis'!$B$3:$B$42,MATCH(A11,'ABC Analysis'!$A$3:$A$42,0))</f>
        <v/>
      </c>
      <c r="P11" s="15" t="inlineStr">
        <is>
          <t>CZ</t>
        </is>
      </c>
      <c r="Q11" s="15">
        <f>COUNTIF($M$3:$M$42,P11)</f>
        <v/>
      </c>
      <c r="R11" s="21">
        <f>SUMIF($M$3:$M$42,P11,$N$3:$N$42)</f>
        <v/>
      </c>
      <c r="S11" s="22">
        <f>R11/SUM($N$3:$N$42)</f>
        <v/>
      </c>
    </row>
    <row r="12" ht="15" customHeight="1" s="16">
      <c r="A12" s="15" t="inlineStr">
        <is>
          <t>Montelukast 10mg</t>
        </is>
      </c>
      <c r="B12" s="15" t="n">
        <v>224</v>
      </c>
      <c r="C12" s="15" t="n">
        <v>246</v>
      </c>
      <c r="D12" s="15" t="n">
        <v>187</v>
      </c>
      <c r="E12" s="15" t="n">
        <v>133</v>
      </c>
      <c r="F12" s="15" t="n">
        <v>211</v>
      </c>
      <c r="G12" s="15" t="n">
        <v>309</v>
      </c>
      <c r="H12" s="15">
        <f>AVERAGE(B12:G12)</f>
        <v/>
      </c>
      <c r="I12" s="23">
        <f>STDEV(B12:G12)</f>
        <v/>
      </c>
      <c r="J12" s="23">
        <f>I12/H12*100</f>
        <v/>
      </c>
      <c r="K12" s="15">
        <f>IF(J12&lt;=20,"X",IF(J12&lt;=40,"Y","Z"))</f>
        <v/>
      </c>
      <c r="L12" s="15">
        <f>INDEX('ABC Analysis'!$E$3:$E$42,MATCH(A12,'ABC Analysis'!$A$3:$A$42,0))</f>
        <v/>
      </c>
      <c r="M12" s="15">
        <f>L12&amp;K12</f>
        <v/>
      </c>
      <c r="N12" s="21">
        <f>INDEX('ABC Analysis'!$B$3:$B$42,MATCH(A12,'ABC Analysis'!$A$3:$A$42,0))</f>
        <v/>
      </c>
    </row>
    <row r="13" ht="15" customHeight="1" s="16">
      <c r="A13" s="15" t="inlineStr">
        <is>
          <t>Metoprolol 50mg</t>
        </is>
      </c>
      <c r="B13" s="15" t="n">
        <v>392</v>
      </c>
      <c r="C13" s="15" t="n">
        <v>431</v>
      </c>
      <c r="D13" s="15" t="n">
        <v>424</v>
      </c>
      <c r="E13" s="15" t="n">
        <v>359</v>
      </c>
      <c r="F13" s="15" t="n">
        <v>448</v>
      </c>
      <c r="G13" s="15" t="n">
        <v>400</v>
      </c>
      <c r="H13" s="15">
        <f>AVERAGE(B13:G13)</f>
        <v/>
      </c>
      <c r="I13" s="23">
        <f>STDEV(B13:G13)</f>
        <v/>
      </c>
      <c r="J13" s="23">
        <f>I13/H13*100</f>
        <v/>
      </c>
      <c r="K13" s="15">
        <f>IF(J13&lt;=20,"X",IF(J13&lt;=40,"Y","Z"))</f>
        <v/>
      </c>
      <c r="L13" s="15">
        <f>INDEX('ABC Analysis'!$E$3:$E$42,MATCH(A13,'ABC Analysis'!$A$3:$A$42,0))</f>
        <v/>
      </c>
      <c r="M13" s="15">
        <f>L13&amp;K13</f>
        <v/>
      </c>
      <c r="N13" s="21">
        <f>INDEX('ABC Analysis'!$B$3:$B$42,MATCH(A13,'ABC Analysis'!$A$3:$A$42,0))</f>
        <v/>
      </c>
    </row>
    <row r="14" ht="15" customHeight="1" s="16">
      <c r="A14" s="15" t="inlineStr">
        <is>
          <t>Vitamin C 500mg</t>
        </is>
      </c>
      <c r="B14" s="15" t="n">
        <v>166</v>
      </c>
      <c r="C14" s="15" t="n">
        <v>183</v>
      </c>
      <c r="D14" s="15" t="n">
        <v>253</v>
      </c>
      <c r="E14" s="15" t="n">
        <v>165</v>
      </c>
      <c r="F14" s="15" t="n">
        <v>218</v>
      </c>
      <c r="G14" s="15" t="n">
        <v>160</v>
      </c>
      <c r="H14" s="15">
        <f>AVERAGE(B14:G14)</f>
        <v/>
      </c>
      <c r="I14" s="23">
        <f>STDEV(B14:G14)</f>
        <v/>
      </c>
      <c r="J14" s="23">
        <f>I14/H14*100</f>
        <v/>
      </c>
      <c r="K14" s="15">
        <f>IF(J14&lt;=20,"X",IF(J14&lt;=40,"Y","Z"))</f>
        <v/>
      </c>
      <c r="L14" s="15">
        <f>INDEX('ABC Analysis'!$E$3:$E$42,MATCH(A14,'ABC Analysis'!$A$3:$A$42,0))</f>
        <v/>
      </c>
      <c r="M14" s="15">
        <f>L14&amp;K14</f>
        <v/>
      </c>
      <c r="N14" s="21">
        <f>INDEX('ABC Analysis'!$B$3:$B$42,MATCH(A14,'ABC Analysis'!$A$3:$A$42,0))</f>
        <v/>
      </c>
    </row>
    <row r="15" ht="15" customHeight="1" s="16">
      <c r="A15" s="15" t="inlineStr">
        <is>
          <t>Metformin 500mg</t>
        </is>
      </c>
      <c r="B15" s="15" t="n">
        <v>517</v>
      </c>
      <c r="C15" s="15" t="n">
        <v>464</v>
      </c>
      <c r="D15" s="15" t="n">
        <v>440</v>
      </c>
      <c r="E15" s="15" t="n">
        <v>464</v>
      </c>
      <c r="F15" s="15" t="n">
        <v>450</v>
      </c>
      <c r="G15" s="15" t="n">
        <v>385</v>
      </c>
      <c r="H15" s="15">
        <f>AVERAGE(B15:G15)</f>
        <v/>
      </c>
      <c r="I15" s="23">
        <f>STDEV(B15:G15)</f>
        <v/>
      </c>
      <c r="J15" s="23">
        <f>I15/H15*100</f>
        <v/>
      </c>
      <c r="K15" s="15">
        <f>IF(J15&lt;=20,"X",IF(J15&lt;=40,"Y","Z"))</f>
        <v/>
      </c>
      <c r="L15" s="15">
        <f>INDEX('ABC Analysis'!$E$3:$E$42,MATCH(A15,'ABC Analysis'!$A$3:$A$42,0))</f>
        <v/>
      </c>
      <c r="M15" s="15">
        <f>L15&amp;K15</f>
        <v/>
      </c>
      <c r="N15" s="21">
        <f>INDEX('ABC Analysis'!$B$3:$B$42,MATCH(A15,'ABC Analysis'!$A$3:$A$42,0))</f>
        <v/>
      </c>
    </row>
    <row r="16" ht="15" customHeight="1" s="16">
      <c r="A16" s="15" t="inlineStr">
        <is>
          <t>Moxifloxacin Eye Drops</t>
        </is>
      </c>
      <c r="B16" s="15" t="n">
        <v>196</v>
      </c>
      <c r="C16" s="15" t="n">
        <v>152</v>
      </c>
      <c r="D16" s="15" t="n">
        <v>189</v>
      </c>
      <c r="E16" s="15" t="n">
        <v>204</v>
      </c>
      <c r="F16" s="15" t="n">
        <v>243</v>
      </c>
      <c r="G16" s="15" t="n">
        <v>219</v>
      </c>
      <c r="H16" s="15">
        <f>AVERAGE(B16:G16)</f>
        <v/>
      </c>
      <c r="I16" s="23">
        <f>STDEV(B16:G16)</f>
        <v/>
      </c>
      <c r="J16" s="23">
        <f>I16/H16*100</f>
        <v/>
      </c>
      <c r="K16" s="15">
        <f>IF(J16&lt;=20,"X",IF(J16&lt;=40,"Y","Z"))</f>
        <v/>
      </c>
      <c r="L16" s="15">
        <f>INDEX('ABC Analysis'!$E$3:$E$42,MATCH(A16,'ABC Analysis'!$A$3:$A$42,0))</f>
        <v/>
      </c>
      <c r="M16" s="15">
        <f>L16&amp;K16</f>
        <v/>
      </c>
      <c r="N16" s="21">
        <f>INDEX('ABC Analysis'!$B$3:$B$42,MATCH(A16,'ABC Analysis'!$A$3:$A$42,0))</f>
        <v/>
      </c>
    </row>
    <row r="17" ht="15" customHeight="1" s="16">
      <c r="A17" s="15" t="inlineStr">
        <is>
          <t>Clonazepam 0.5mg</t>
        </is>
      </c>
      <c r="B17" s="15" t="n">
        <v>400</v>
      </c>
      <c r="C17" s="15" t="n">
        <v>412</v>
      </c>
      <c r="D17" s="15" t="n">
        <v>468</v>
      </c>
      <c r="E17" s="15" t="n">
        <v>435</v>
      </c>
      <c r="F17" s="15" t="n">
        <v>496</v>
      </c>
      <c r="G17" s="15" t="n">
        <v>436</v>
      </c>
      <c r="H17" s="15">
        <f>AVERAGE(B17:G17)</f>
        <v/>
      </c>
      <c r="I17" s="23">
        <f>STDEV(B17:G17)</f>
        <v/>
      </c>
      <c r="J17" s="23">
        <f>I17/H17*100</f>
        <v/>
      </c>
      <c r="K17" s="15">
        <f>IF(J17&lt;=20,"X",IF(J17&lt;=40,"Y","Z"))</f>
        <v/>
      </c>
      <c r="L17" s="15">
        <f>INDEX('ABC Analysis'!$E$3:$E$42,MATCH(A17,'ABC Analysis'!$A$3:$A$42,0))</f>
        <v/>
      </c>
      <c r="M17" s="15">
        <f>L17&amp;K17</f>
        <v/>
      </c>
      <c r="N17" s="21">
        <f>INDEX('ABC Analysis'!$B$3:$B$42,MATCH(A17,'ABC Analysis'!$A$3:$A$42,0))</f>
        <v/>
      </c>
    </row>
    <row r="18" ht="15" customHeight="1" s="16">
      <c r="A18" s="15" t="inlineStr">
        <is>
          <t>Calamine Lotion</t>
        </is>
      </c>
      <c r="B18" s="15" t="n">
        <v>147</v>
      </c>
      <c r="C18" s="15" t="n">
        <v>123</v>
      </c>
      <c r="D18" s="15" t="n">
        <v>240</v>
      </c>
      <c r="E18" s="15" t="n">
        <v>243</v>
      </c>
      <c r="F18" s="15" t="n">
        <v>274</v>
      </c>
      <c r="G18" s="15" t="n">
        <v>241</v>
      </c>
      <c r="H18" s="15">
        <f>AVERAGE(B18:G18)</f>
        <v/>
      </c>
      <c r="I18" s="23">
        <f>STDEV(B18:G18)</f>
        <v/>
      </c>
      <c r="J18" s="23">
        <f>I18/H18*100</f>
        <v/>
      </c>
      <c r="K18" s="15">
        <f>IF(J18&lt;=20,"X",IF(J18&lt;=40,"Y","Z"))</f>
        <v/>
      </c>
      <c r="L18" s="15">
        <f>INDEX('ABC Analysis'!$E$3:$E$42,MATCH(A18,'ABC Analysis'!$A$3:$A$42,0))</f>
        <v/>
      </c>
      <c r="M18" s="15">
        <f>L18&amp;K18</f>
        <v/>
      </c>
      <c r="N18" s="21">
        <f>INDEX('ABC Analysis'!$B$3:$B$42,MATCH(A18,'ABC Analysis'!$A$3:$A$42,0))</f>
        <v/>
      </c>
    </row>
    <row r="19" ht="15" customHeight="1" s="16">
      <c r="A19" s="15" t="inlineStr">
        <is>
          <t>Azithromycin 250mg</t>
        </is>
      </c>
      <c r="B19" s="15" t="n">
        <v>236</v>
      </c>
      <c r="C19" s="15" t="n">
        <v>234</v>
      </c>
      <c r="D19" s="15" t="n">
        <v>186</v>
      </c>
      <c r="E19" s="15" t="n">
        <v>150</v>
      </c>
      <c r="F19" s="15" t="n">
        <v>261</v>
      </c>
      <c r="G19" s="15" t="n">
        <v>267</v>
      </c>
      <c r="H19" s="15">
        <f>AVERAGE(B19:G19)</f>
        <v/>
      </c>
      <c r="I19" s="23">
        <f>STDEV(B19:G19)</f>
        <v/>
      </c>
      <c r="J19" s="23">
        <f>I19/H19*100</f>
        <v/>
      </c>
      <c r="K19" s="15">
        <f>IF(J19&lt;=20,"X",IF(J19&lt;=40,"Y","Z"))</f>
        <v/>
      </c>
      <c r="L19" s="15">
        <f>INDEX('ABC Analysis'!$E$3:$E$42,MATCH(A19,'ABC Analysis'!$A$3:$A$42,0))</f>
        <v/>
      </c>
      <c r="M19" s="15">
        <f>L19&amp;K19</f>
        <v/>
      </c>
      <c r="N19" s="21">
        <f>INDEX('ABC Analysis'!$B$3:$B$42,MATCH(A19,'ABC Analysis'!$A$3:$A$42,0))</f>
        <v/>
      </c>
    </row>
    <row r="20" ht="15" customHeight="1" s="16">
      <c r="A20" s="15" t="inlineStr">
        <is>
          <t>Pantoprazole 40mg</t>
        </is>
      </c>
      <c r="B20" s="15" t="n">
        <v>173</v>
      </c>
      <c r="C20" s="15" t="n">
        <v>169</v>
      </c>
      <c r="D20" s="15" t="n">
        <v>207</v>
      </c>
      <c r="E20" s="15" t="n">
        <v>192</v>
      </c>
      <c r="F20" s="15" t="n">
        <v>233</v>
      </c>
      <c r="G20" s="15" t="n">
        <v>147</v>
      </c>
      <c r="H20" s="15">
        <f>AVERAGE(B20:G20)</f>
        <v/>
      </c>
      <c r="I20" s="23">
        <f>STDEV(B20:G20)</f>
        <v/>
      </c>
      <c r="J20" s="23">
        <f>I20/H20*100</f>
        <v/>
      </c>
      <c r="K20" s="15">
        <f>IF(J20&lt;=20,"X",IF(J20&lt;=40,"Y","Z"))</f>
        <v/>
      </c>
      <c r="L20" s="15">
        <f>INDEX('ABC Analysis'!$E$3:$E$42,MATCH(A20,'ABC Analysis'!$A$3:$A$42,0))</f>
        <v/>
      </c>
      <c r="M20" s="15">
        <f>L20&amp;K20</f>
        <v/>
      </c>
      <c r="N20" s="21">
        <f>INDEX('ABC Analysis'!$B$3:$B$42,MATCH(A20,'ABC Analysis'!$A$3:$A$42,0))</f>
        <v/>
      </c>
    </row>
    <row r="21" ht="15" customHeight="1" s="16">
      <c r="A21" s="15" t="inlineStr">
        <is>
          <t>Alprazolam 0.25mg</t>
        </is>
      </c>
      <c r="B21" s="15" t="n">
        <v>414</v>
      </c>
      <c r="C21" s="15" t="n">
        <v>426</v>
      </c>
      <c r="D21" s="15" t="n">
        <v>388</v>
      </c>
      <c r="E21" s="15" t="n">
        <v>437</v>
      </c>
      <c r="F21" s="15" t="n">
        <v>473</v>
      </c>
      <c r="G21" s="15" t="n">
        <v>462</v>
      </c>
      <c r="H21" s="15">
        <f>AVERAGE(B21:G21)</f>
        <v/>
      </c>
      <c r="I21" s="23">
        <f>STDEV(B21:G21)</f>
        <v/>
      </c>
      <c r="J21" s="23">
        <f>I21/H21*100</f>
        <v/>
      </c>
      <c r="K21" s="15">
        <f>IF(J21&lt;=20,"X",IF(J21&lt;=40,"Y","Z"))</f>
        <v/>
      </c>
      <c r="L21" s="15">
        <f>INDEX('ABC Analysis'!$E$3:$E$42,MATCH(A21,'ABC Analysis'!$A$3:$A$42,0))</f>
        <v/>
      </c>
      <c r="M21" s="15">
        <f>L21&amp;K21</f>
        <v/>
      </c>
      <c r="N21" s="21">
        <f>INDEX('ABC Analysis'!$B$3:$B$42,MATCH(A21,'ABC Analysis'!$A$3:$A$42,0))</f>
        <v/>
      </c>
    </row>
    <row r="22" ht="15" customHeight="1" s="16">
      <c r="A22" s="15" t="inlineStr">
        <is>
          <t>Iron + Folic Syrup</t>
        </is>
      </c>
      <c r="B22" s="15" t="n">
        <v>160</v>
      </c>
      <c r="C22" s="15" t="n">
        <v>198</v>
      </c>
      <c r="D22" s="15" t="n">
        <v>177</v>
      </c>
      <c r="E22" s="15" t="n">
        <v>215</v>
      </c>
      <c r="F22" s="15" t="n">
        <v>188</v>
      </c>
      <c r="G22" s="15" t="n">
        <v>211</v>
      </c>
      <c r="H22" s="15">
        <f>AVERAGE(B22:G22)</f>
        <v/>
      </c>
      <c r="I22" s="23">
        <f>STDEV(B22:G22)</f>
        <v/>
      </c>
      <c r="J22" s="23">
        <f>I22/H22*100</f>
        <v/>
      </c>
      <c r="K22" s="15">
        <f>IF(J22&lt;=20,"X",IF(J22&lt;=40,"Y","Z"))</f>
        <v/>
      </c>
      <c r="L22" s="15">
        <f>INDEX('ABC Analysis'!$E$3:$E$42,MATCH(A22,'ABC Analysis'!$A$3:$A$42,0))</f>
        <v/>
      </c>
      <c r="M22" s="15">
        <f>L22&amp;K22</f>
        <v/>
      </c>
      <c r="N22" s="21">
        <f>INDEX('ABC Analysis'!$B$3:$B$42,MATCH(A22,'ABC Analysis'!$A$3:$A$42,0))</f>
        <v/>
      </c>
    </row>
    <row r="23" ht="15" customHeight="1" s="16">
      <c r="A23" s="15" t="inlineStr">
        <is>
          <t>Betamethasone Cream</t>
        </is>
      </c>
      <c r="B23" s="15" t="n">
        <v>155</v>
      </c>
      <c r="C23" s="15" t="n">
        <v>104</v>
      </c>
      <c r="D23" s="15" t="n">
        <v>272</v>
      </c>
      <c r="E23" s="15" t="n">
        <v>285</v>
      </c>
      <c r="F23" s="15" t="n">
        <v>277</v>
      </c>
      <c r="G23" s="15" t="n">
        <v>224</v>
      </c>
      <c r="H23" s="15">
        <f>AVERAGE(B23:G23)</f>
        <v/>
      </c>
      <c r="I23" s="23">
        <f>STDEV(B23:G23)</f>
        <v/>
      </c>
      <c r="J23" s="23">
        <f>I23/H23*100</f>
        <v/>
      </c>
      <c r="K23" s="15">
        <f>IF(J23&lt;=20,"X",IF(J23&lt;=40,"Y","Z"))</f>
        <v/>
      </c>
      <c r="L23" s="15">
        <f>INDEX('ABC Analysis'!$E$3:$E$42,MATCH(A23,'ABC Analysis'!$A$3:$A$42,0))</f>
        <v/>
      </c>
      <c r="M23" s="15">
        <f>L23&amp;K23</f>
        <v/>
      </c>
      <c r="N23" s="21">
        <f>INDEX('ABC Analysis'!$B$3:$B$42,MATCH(A23,'ABC Analysis'!$A$3:$A$42,0))</f>
        <v/>
      </c>
    </row>
    <row r="24" ht="15" customHeight="1" s="16">
      <c r="A24" s="15" t="inlineStr">
        <is>
          <t>B-Complex Tablets</t>
        </is>
      </c>
      <c r="B24" s="15" t="n">
        <v>166</v>
      </c>
      <c r="C24" s="15" t="n">
        <v>154</v>
      </c>
      <c r="D24" s="15" t="n">
        <v>261</v>
      </c>
      <c r="E24" s="15" t="n">
        <v>316</v>
      </c>
      <c r="F24" s="15" t="n">
        <v>235</v>
      </c>
      <c r="G24" s="15" t="n">
        <v>158</v>
      </c>
      <c r="H24" s="15">
        <f>AVERAGE(B24:G24)</f>
        <v/>
      </c>
      <c r="I24" s="23">
        <f>STDEV(B24:G24)</f>
        <v/>
      </c>
      <c r="J24" s="23">
        <f>I24/H24*100</f>
        <v/>
      </c>
      <c r="K24" s="15">
        <f>IF(J24&lt;=20,"X",IF(J24&lt;=40,"Y","Z"))</f>
        <v/>
      </c>
      <c r="L24" s="15">
        <f>INDEX('ABC Analysis'!$E$3:$E$42,MATCH(A24,'ABC Analysis'!$A$3:$A$42,0))</f>
        <v/>
      </c>
      <c r="M24" s="15">
        <f>L24&amp;K24</f>
        <v/>
      </c>
      <c r="N24" s="21">
        <f>INDEX('ABC Analysis'!$B$3:$B$42,MATCH(A24,'ABC Analysis'!$A$3:$A$42,0))</f>
        <v/>
      </c>
    </row>
    <row r="25" ht="15" customHeight="1" s="16">
      <c r="A25" s="15" t="inlineStr">
        <is>
          <t>Dettol Antiseptic 100ml</t>
        </is>
      </c>
      <c r="B25" s="15" t="n">
        <v>174</v>
      </c>
      <c r="C25" s="15" t="n">
        <v>171</v>
      </c>
      <c r="D25" s="15" t="n">
        <v>214</v>
      </c>
      <c r="E25" s="15" t="n">
        <v>197</v>
      </c>
      <c r="F25" s="15" t="n">
        <v>210</v>
      </c>
      <c r="G25" s="15" t="n">
        <v>281</v>
      </c>
      <c r="H25" s="15">
        <f>AVERAGE(B25:G25)</f>
        <v/>
      </c>
      <c r="I25" s="23">
        <f>STDEV(B25:G25)</f>
        <v/>
      </c>
      <c r="J25" s="23">
        <f>I25/H25*100</f>
        <v/>
      </c>
      <c r="K25" s="15">
        <f>IF(J25&lt;=20,"X",IF(J25&lt;=40,"Y","Z"))</f>
        <v/>
      </c>
      <c r="L25" s="15">
        <f>INDEX('ABC Analysis'!$E$3:$E$42,MATCH(A25,'ABC Analysis'!$A$3:$A$42,0))</f>
        <v/>
      </c>
      <c r="M25" s="15">
        <f>L25&amp;K25</f>
        <v/>
      </c>
      <c r="N25" s="21">
        <f>INDEX('ABC Analysis'!$B$3:$B$42,MATCH(A25,'ABC Analysis'!$A$3:$A$42,0))</f>
        <v/>
      </c>
    </row>
    <row r="26" ht="15" customHeight="1" s="16">
      <c r="A26" s="15" t="inlineStr">
        <is>
          <t>Vicks VapoRub 25g</t>
        </is>
      </c>
      <c r="B26" s="15" t="n">
        <v>205</v>
      </c>
      <c r="C26" s="15" t="n">
        <v>180</v>
      </c>
      <c r="D26" s="15" t="n">
        <v>212</v>
      </c>
      <c r="E26" s="15" t="n">
        <v>177</v>
      </c>
      <c r="F26" s="15" t="n">
        <v>219</v>
      </c>
      <c r="G26" s="15" t="n">
        <v>239</v>
      </c>
      <c r="H26" s="15">
        <f>AVERAGE(B26:G26)</f>
        <v/>
      </c>
      <c r="I26" s="23">
        <f>STDEV(B26:G26)</f>
        <v/>
      </c>
      <c r="J26" s="23">
        <f>I26/H26*100</f>
        <v/>
      </c>
      <c r="K26" s="15">
        <f>IF(J26&lt;=20,"X",IF(J26&lt;=40,"Y","Z"))</f>
        <v/>
      </c>
      <c r="L26" s="15">
        <f>INDEX('ABC Analysis'!$E$3:$E$42,MATCH(A26,'ABC Analysis'!$A$3:$A$42,0))</f>
        <v/>
      </c>
      <c r="M26" s="15">
        <f>L26&amp;K26</f>
        <v/>
      </c>
      <c r="N26" s="21">
        <f>INDEX('ABC Analysis'!$B$3:$B$42,MATCH(A26,'ABC Analysis'!$A$3:$A$42,0))</f>
        <v/>
      </c>
    </row>
    <row r="27" ht="15" customHeight="1" s="16">
      <c r="A27" s="15" t="inlineStr">
        <is>
          <t>Omeprazole 20mg</t>
        </is>
      </c>
      <c r="B27" s="15" t="n">
        <v>175</v>
      </c>
      <c r="C27" s="15" t="n">
        <v>178</v>
      </c>
      <c r="D27" s="15" t="n">
        <v>207</v>
      </c>
      <c r="E27" s="15" t="n">
        <v>169</v>
      </c>
      <c r="F27" s="15" t="n">
        <v>188</v>
      </c>
      <c r="G27" s="15" t="n">
        <v>196</v>
      </c>
      <c r="H27" s="15">
        <f>AVERAGE(B27:G27)</f>
        <v/>
      </c>
      <c r="I27" s="23">
        <f>STDEV(B27:G27)</f>
        <v/>
      </c>
      <c r="J27" s="23">
        <f>I27/H27*100</f>
        <v/>
      </c>
      <c r="K27" s="15">
        <f>IF(J27&lt;=20,"X",IF(J27&lt;=40,"Y","Z"))</f>
        <v/>
      </c>
      <c r="L27" s="15">
        <f>INDEX('ABC Analysis'!$E$3:$E$42,MATCH(A27,'ABC Analysis'!$A$3:$A$42,0))</f>
        <v/>
      </c>
      <c r="M27" s="15">
        <f>L27&amp;K27</f>
        <v/>
      </c>
      <c r="N27" s="21">
        <f>INDEX('ABC Analysis'!$B$3:$B$42,MATCH(A27,'ABC Analysis'!$A$3:$A$42,0))</f>
        <v/>
      </c>
    </row>
    <row r="28" ht="15" customHeight="1" s="16">
      <c r="A28" s="15" t="inlineStr">
        <is>
          <t>Digene Syrup</t>
        </is>
      </c>
      <c r="B28" s="15" t="n">
        <v>147</v>
      </c>
      <c r="C28" s="15" t="n">
        <v>211</v>
      </c>
      <c r="D28" s="15" t="n">
        <v>206</v>
      </c>
      <c r="E28" s="15" t="n">
        <v>221</v>
      </c>
      <c r="F28" s="15" t="n">
        <v>210</v>
      </c>
      <c r="G28" s="15" t="n">
        <v>227</v>
      </c>
      <c r="H28" s="15">
        <f>AVERAGE(B28:G28)</f>
        <v/>
      </c>
      <c r="I28" s="23">
        <f>STDEV(B28:G28)</f>
        <v/>
      </c>
      <c r="J28" s="23">
        <f>I28/H28*100</f>
        <v/>
      </c>
      <c r="K28" s="15">
        <f>IF(J28&lt;=20,"X",IF(J28&lt;=40,"Y","Z"))</f>
        <v/>
      </c>
      <c r="L28" s="15">
        <f>INDEX('ABC Analysis'!$E$3:$E$42,MATCH(A28,'ABC Analysis'!$A$3:$A$42,0))</f>
        <v/>
      </c>
      <c r="M28" s="15">
        <f>L28&amp;K28</f>
        <v/>
      </c>
      <c r="N28" s="21">
        <f>INDEX('ABC Analysis'!$B$3:$B$42,MATCH(A28,'ABC Analysis'!$A$3:$A$42,0))</f>
        <v/>
      </c>
    </row>
    <row r="29" ht="15" customHeight="1" s="16">
      <c r="A29" s="15" t="inlineStr">
        <is>
          <t>Ciprofloxacin Eye Drops</t>
        </is>
      </c>
      <c r="B29" s="15" t="n">
        <v>164</v>
      </c>
      <c r="C29" s="15" t="n">
        <v>173</v>
      </c>
      <c r="D29" s="15" t="n">
        <v>253</v>
      </c>
      <c r="E29" s="15" t="n">
        <v>216</v>
      </c>
      <c r="F29" s="15" t="n">
        <v>189</v>
      </c>
      <c r="G29" s="15" t="n">
        <v>221</v>
      </c>
      <c r="H29" s="15">
        <f>AVERAGE(B29:G29)</f>
        <v/>
      </c>
      <c r="I29" s="23">
        <f>STDEV(B29:G29)</f>
        <v/>
      </c>
      <c r="J29" s="23">
        <f>I29/H29*100</f>
        <v/>
      </c>
      <c r="K29" s="15">
        <f>IF(J29&lt;=20,"X",IF(J29&lt;=40,"Y","Z"))</f>
        <v/>
      </c>
      <c r="L29" s="15">
        <f>INDEX('ABC Analysis'!$E$3:$E$42,MATCH(A29,'ABC Analysis'!$A$3:$A$42,0))</f>
        <v/>
      </c>
      <c r="M29" s="15">
        <f>L29&amp;K29</f>
        <v/>
      </c>
      <c r="N29" s="21">
        <f>INDEX('ABC Analysis'!$B$3:$B$42,MATCH(A29,'ABC Analysis'!$A$3:$A$42,0))</f>
        <v/>
      </c>
    </row>
    <row r="30" ht="15" customHeight="1" s="16">
      <c r="A30" s="15" t="inlineStr">
        <is>
          <t>Amoxicillin 500mg</t>
        </is>
      </c>
      <c r="B30" s="15" t="n">
        <v>232</v>
      </c>
      <c r="C30" s="15" t="n">
        <v>177</v>
      </c>
      <c r="D30" s="15" t="n">
        <v>223</v>
      </c>
      <c r="E30" s="15" t="n">
        <v>177</v>
      </c>
      <c r="F30" s="15" t="n">
        <v>194</v>
      </c>
      <c r="G30" s="15" t="n">
        <v>197</v>
      </c>
      <c r="H30" s="15">
        <f>AVERAGE(B30:G30)</f>
        <v/>
      </c>
      <c r="I30" s="23">
        <f>STDEV(B30:G30)</f>
        <v/>
      </c>
      <c r="J30" s="23">
        <f>I30/H30*100</f>
        <v/>
      </c>
      <c r="K30" s="15">
        <f>IF(J30&lt;=20,"X",IF(J30&lt;=40,"Y","Z"))</f>
        <v/>
      </c>
      <c r="L30" s="15">
        <f>INDEX('ABC Analysis'!$E$3:$E$42,MATCH(A30,'ABC Analysis'!$A$3:$A$42,0))</f>
        <v/>
      </c>
      <c r="M30" s="15">
        <f>L30&amp;K30</f>
        <v/>
      </c>
      <c r="N30" s="21">
        <f>INDEX('ABC Analysis'!$B$3:$B$42,MATCH(A30,'ABC Analysis'!$A$3:$A$42,0))</f>
        <v/>
      </c>
    </row>
    <row r="31" ht="15" customHeight="1" s="16">
      <c r="A31" s="15" t="inlineStr">
        <is>
          <t>Clotrimazole Cream</t>
        </is>
      </c>
      <c r="B31" s="15" t="n">
        <v>174</v>
      </c>
      <c r="C31" s="15" t="n">
        <v>112</v>
      </c>
      <c r="D31" s="15" t="n">
        <v>254</v>
      </c>
      <c r="E31" s="15" t="n">
        <v>298</v>
      </c>
      <c r="F31" s="15" t="n">
        <v>275</v>
      </c>
      <c r="G31" s="15" t="n">
        <v>162</v>
      </c>
      <c r="H31" s="15">
        <f>AVERAGE(B31:G31)</f>
        <v/>
      </c>
      <c r="I31" s="23">
        <f>STDEV(B31:G31)</f>
        <v/>
      </c>
      <c r="J31" s="23">
        <f>I31/H31*100</f>
        <v/>
      </c>
      <c r="K31" s="15">
        <f>IF(J31&lt;=20,"X",IF(J31&lt;=40,"Y","Z"))</f>
        <v/>
      </c>
      <c r="L31" s="15">
        <f>INDEX('ABC Analysis'!$E$3:$E$42,MATCH(A31,'ABC Analysis'!$A$3:$A$42,0))</f>
        <v/>
      </c>
      <c r="M31" s="15">
        <f>L31&amp;K31</f>
        <v/>
      </c>
      <c r="N31" s="21">
        <f>INDEX('ABC Analysis'!$B$3:$B$42,MATCH(A31,'ABC Analysis'!$A$3:$A$42,0))</f>
        <v/>
      </c>
    </row>
    <row r="32" ht="15" customHeight="1" s="16">
      <c r="A32" s="15" t="inlineStr">
        <is>
          <t>Levocetrizine 5mg</t>
        </is>
      </c>
      <c r="B32" s="15" t="n">
        <v>304</v>
      </c>
      <c r="C32" s="15" t="n">
        <v>305</v>
      </c>
      <c r="D32" s="15" t="n">
        <v>240</v>
      </c>
      <c r="E32" s="15" t="n">
        <v>132</v>
      </c>
      <c r="F32" s="15" t="n">
        <v>155</v>
      </c>
      <c r="G32" s="15" t="n">
        <v>280</v>
      </c>
      <c r="H32" s="15">
        <f>AVERAGE(B32:G32)</f>
        <v/>
      </c>
      <c r="I32" s="23">
        <f>STDEV(B32:G32)</f>
        <v/>
      </c>
      <c r="J32" s="23">
        <f>I32/H32*100</f>
        <v/>
      </c>
      <c r="K32" s="15">
        <f>IF(J32&lt;=20,"X",IF(J32&lt;=40,"Y","Z"))</f>
        <v/>
      </c>
      <c r="L32" s="15">
        <f>INDEX('ABC Analysis'!$E$3:$E$42,MATCH(A32,'ABC Analysis'!$A$3:$A$42,0))</f>
        <v/>
      </c>
      <c r="M32" s="15">
        <f>L32&amp;K32</f>
        <v/>
      </c>
      <c r="N32" s="21">
        <f>INDEX('ABC Analysis'!$B$3:$B$42,MATCH(A32,'ABC Analysis'!$A$3:$A$42,0))</f>
        <v/>
      </c>
    </row>
    <row r="33" ht="15" customHeight="1" s="16">
      <c r="A33" s="15" t="inlineStr">
        <is>
          <t>Band-Aid Pack</t>
        </is>
      </c>
      <c r="B33" s="15" t="n">
        <v>198</v>
      </c>
      <c r="C33" s="15" t="n">
        <v>161</v>
      </c>
      <c r="D33" s="15" t="n">
        <v>197</v>
      </c>
      <c r="E33" s="15" t="n">
        <v>229</v>
      </c>
      <c r="F33" s="15" t="n">
        <v>226</v>
      </c>
      <c r="G33" s="15" t="n">
        <v>225</v>
      </c>
      <c r="H33" s="15">
        <f>AVERAGE(B33:G33)</f>
        <v/>
      </c>
      <c r="I33" s="23">
        <f>STDEV(B33:G33)</f>
        <v/>
      </c>
      <c r="J33" s="23">
        <f>I33/H33*100</f>
        <v/>
      </c>
      <c r="K33" s="15">
        <f>IF(J33&lt;=20,"X",IF(J33&lt;=40,"Y","Z"))</f>
        <v/>
      </c>
      <c r="L33" s="15">
        <f>INDEX('ABC Analysis'!$E$3:$E$42,MATCH(A33,'ABC Analysis'!$A$3:$A$42,0))</f>
        <v/>
      </c>
      <c r="M33" s="15">
        <f>L33&amp;K33</f>
        <v/>
      </c>
      <c r="N33" s="21">
        <f>INDEX('ABC Analysis'!$B$3:$B$42,MATCH(A33,'ABC Analysis'!$A$3:$A$42,0))</f>
        <v/>
      </c>
    </row>
    <row r="34" ht="15" customHeight="1" s="16">
      <c r="A34" s="15" t="inlineStr">
        <is>
          <t>Cetirizine Syrup</t>
        </is>
      </c>
      <c r="B34" s="15" t="n">
        <v>223</v>
      </c>
      <c r="C34" s="15" t="n">
        <v>183</v>
      </c>
      <c r="D34" s="15" t="n">
        <v>120</v>
      </c>
      <c r="E34" s="15" t="n">
        <v>190</v>
      </c>
      <c r="F34" s="15" t="n">
        <v>200</v>
      </c>
      <c r="G34" s="15" t="n">
        <v>301</v>
      </c>
      <c r="H34" s="15">
        <f>AVERAGE(B34:G34)</f>
        <v/>
      </c>
      <c r="I34" s="23">
        <f>STDEV(B34:G34)</f>
        <v/>
      </c>
      <c r="J34" s="23">
        <f>I34/H34*100</f>
        <v/>
      </c>
      <c r="K34" s="15">
        <f>IF(J34&lt;=20,"X",IF(J34&lt;=40,"Y","Z"))</f>
        <v/>
      </c>
      <c r="L34" s="15">
        <f>INDEX('ABC Analysis'!$E$3:$E$42,MATCH(A34,'ABC Analysis'!$A$3:$A$42,0))</f>
        <v/>
      </c>
      <c r="M34" s="15">
        <f>L34&amp;K34</f>
        <v/>
      </c>
      <c r="N34" s="21">
        <f>INDEX('ABC Analysis'!$B$3:$B$42,MATCH(A34,'ABC Analysis'!$A$3:$A$42,0))</f>
        <v/>
      </c>
    </row>
    <row r="35" ht="15" customHeight="1" s="16">
      <c r="A35" s="15" t="inlineStr">
        <is>
          <t>Ranitidine 150mg</t>
        </is>
      </c>
      <c r="B35" s="15" t="n">
        <v>175</v>
      </c>
      <c r="C35" s="15" t="n">
        <v>210</v>
      </c>
      <c r="D35" s="15" t="n">
        <v>231</v>
      </c>
      <c r="E35" s="15" t="n">
        <v>237</v>
      </c>
      <c r="F35" s="15" t="n">
        <v>216</v>
      </c>
      <c r="G35" s="15" t="n">
        <v>185</v>
      </c>
      <c r="H35" s="15">
        <f>AVERAGE(B35:G35)</f>
        <v/>
      </c>
      <c r="I35" s="23">
        <f>STDEV(B35:G35)</f>
        <v/>
      </c>
      <c r="J35" s="23">
        <f>I35/H35*100</f>
        <v/>
      </c>
      <c r="K35" s="15">
        <f>IF(J35&lt;=20,"X",IF(J35&lt;=40,"Y","Z"))</f>
        <v/>
      </c>
      <c r="L35" s="15">
        <f>INDEX('ABC Analysis'!$E$3:$E$42,MATCH(A35,'ABC Analysis'!$A$3:$A$42,0))</f>
        <v/>
      </c>
      <c r="M35" s="15">
        <f>L35&amp;K35</f>
        <v/>
      </c>
      <c r="N35" s="21">
        <f>INDEX('ABC Analysis'!$B$3:$B$42,MATCH(A35,'ABC Analysis'!$A$3:$A$42,0))</f>
        <v/>
      </c>
    </row>
    <row r="36" ht="15" customHeight="1" s="16">
      <c r="A36" s="15" t="inlineStr">
        <is>
          <t>Paracetamol Syrup</t>
        </is>
      </c>
      <c r="B36" s="15" t="n">
        <v>168</v>
      </c>
      <c r="C36" s="15" t="n">
        <v>186</v>
      </c>
      <c r="D36" s="15" t="n">
        <v>206</v>
      </c>
      <c r="E36" s="15" t="n">
        <v>200</v>
      </c>
      <c r="F36" s="15" t="n">
        <v>235</v>
      </c>
      <c r="G36" s="15" t="n">
        <v>269</v>
      </c>
      <c r="H36" s="15">
        <f>AVERAGE(B36:G36)</f>
        <v/>
      </c>
      <c r="I36" s="23">
        <f>STDEV(B36:G36)</f>
        <v/>
      </c>
      <c r="J36" s="23">
        <f>I36/H36*100</f>
        <v/>
      </c>
      <c r="K36" s="15">
        <f>IF(J36&lt;=20,"X",IF(J36&lt;=40,"Y","Z"))</f>
        <v/>
      </c>
      <c r="L36" s="15">
        <f>INDEX('ABC Analysis'!$E$3:$E$42,MATCH(A36,'ABC Analysis'!$A$3:$A$42,0))</f>
        <v/>
      </c>
      <c r="M36" s="15">
        <f>L36&amp;K36</f>
        <v/>
      </c>
      <c r="N36" s="21">
        <f>INDEX('ABC Analysis'!$B$3:$B$42,MATCH(A36,'ABC Analysis'!$A$3:$A$42,0))</f>
        <v/>
      </c>
    </row>
    <row r="37" ht="15" customHeight="1" s="16">
      <c r="A37" s="15" t="inlineStr">
        <is>
          <t>Diclofenac 50mg</t>
        </is>
      </c>
      <c r="B37" s="15" t="n">
        <v>240</v>
      </c>
      <c r="C37" s="15" t="n">
        <v>183</v>
      </c>
      <c r="D37" s="15" t="n">
        <v>205</v>
      </c>
      <c r="E37" s="15" t="n">
        <v>170</v>
      </c>
      <c r="F37" s="15" t="n">
        <v>172</v>
      </c>
      <c r="G37" s="15" t="n">
        <v>186</v>
      </c>
      <c r="H37" s="15">
        <f>AVERAGE(B37:G37)</f>
        <v/>
      </c>
      <c r="I37" s="23">
        <f>STDEV(B37:G37)</f>
        <v/>
      </c>
      <c r="J37" s="23">
        <f>I37/H37*100</f>
        <v/>
      </c>
      <c r="K37" s="15">
        <f>IF(J37&lt;=20,"X",IF(J37&lt;=40,"Y","Z"))</f>
        <v/>
      </c>
      <c r="L37" s="15">
        <f>INDEX('ABC Analysis'!$E$3:$E$42,MATCH(A37,'ABC Analysis'!$A$3:$A$42,0))</f>
        <v/>
      </c>
      <c r="M37" s="15">
        <f>L37&amp;K37</f>
        <v/>
      </c>
      <c r="N37" s="21">
        <f>INDEX('ABC Analysis'!$B$3:$B$42,MATCH(A37,'ABC Analysis'!$A$3:$A$42,0))</f>
        <v/>
      </c>
    </row>
    <row r="38" ht="15" customHeight="1" s="16">
      <c r="A38" s="15" t="inlineStr">
        <is>
          <t>Ibuprofen 400mg</t>
        </is>
      </c>
      <c r="B38" s="15" t="n">
        <v>217</v>
      </c>
      <c r="C38" s="15" t="n">
        <v>206</v>
      </c>
      <c r="D38" s="15" t="n">
        <v>179</v>
      </c>
      <c r="E38" s="15" t="n">
        <v>276</v>
      </c>
      <c r="F38" s="15" t="n">
        <v>184</v>
      </c>
      <c r="G38" s="15" t="n">
        <v>143</v>
      </c>
      <c r="H38" s="15">
        <f>AVERAGE(B38:G38)</f>
        <v/>
      </c>
      <c r="I38" s="23">
        <f>STDEV(B38:G38)</f>
        <v/>
      </c>
      <c r="J38" s="23">
        <f>I38/H38*100</f>
        <v/>
      </c>
      <c r="K38" s="15">
        <f>IF(J38&lt;=20,"X",IF(J38&lt;=40,"Y","Z"))</f>
        <v/>
      </c>
      <c r="L38" s="15">
        <f>INDEX('ABC Analysis'!$E$3:$E$42,MATCH(A38,'ABC Analysis'!$A$3:$A$42,0))</f>
        <v/>
      </c>
      <c r="M38" s="15">
        <f>L38&amp;K38</f>
        <v/>
      </c>
      <c r="N38" s="21">
        <f>INDEX('ABC Analysis'!$B$3:$B$42,MATCH(A38,'ABC Analysis'!$A$3:$A$42,0))</f>
        <v/>
      </c>
    </row>
    <row r="39" ht="15" customHeight="1" s="16">
      <c r="A39" s="15" t="inlineStr">
        <is>
          <t>Cetirizine 10mg</t>
        </is>
      </c>
      <c r="B39" s="15" t="n">
        <v>321</v>
      </c>
      <c r="C39" s="15" t="n">
        <v>239</v>
      </c>
      <c r="D39" s="15" t="n">
        <v>191</v>
      </c>
      <c r="E39" s="15" t="n">
        <v>179</v>
      </c>
      <c r="F39" s="15" t="n">
        <v>183</v>
      </c>
      <c r="G39" s="15" t="n">
        <v>282</v>
      </c>
      <c r="H39" s="15">
        <f>AVERAGE(B39:G39)</f>
        <v/>
      </c>
      <c r="I39" s="23">
        <f>STDEV(B39:G39)</f>
        <v/>
      </c>
      <c r="J39" s="23">
        <f>I39/H39*100</f>
        <v/>
      </c>
      <c r="K39" s="15">
        <f>IF(J39&lt;=20,"X",IF(J39&lt;=40,"Y","Z"))</f>
        <v/>
      </c>
      <c r="L39" s="15">
        <f>INDEX('ABC Analysis'!$E$3:$E$42,MATCH(A39,'ABC Analysis'!$A$3:$A$42,0))</f>
        <v/>
      </c>
      <c r="M39" s="15">
        <f>L39&amp;K39</f>
        <v/>
      </c>
      <c r="N39" s="21">
        <f>INDEX('ABC Analysis'!$B$3:$B$42,MATCH(A39,'ABC Analysis'!$A$3:$A$42,0))</f>
        <v/>
      </c>
    </row>
    <row r="40" ht="15" customHeight="1" s="16">
      <c r="A40" s="15" t="inlineStr">
        <is>
          <t>Folic Acid 5mg</t>
        </is>
      </c>
      <c r="B40" s="15" t="n">
        <v>205</v>
      </c>
      <c r="C40" s="15" t="n">
        <v>215</v>
      </c>
      <c r="D40" s="15" t="n">
        <v>213</v>
      </c>
      <c r="E40" s="15" t="n">
        <v>177</v>
      </c>
      <c r="F40" s="15" t="n">
        <v>247</v>
      </c>
      <c r="G40" s="15" t="n">
        <v>161</v>
      </c>
      <c r="H40" s="15">
        <f>AVERAGE(B40:G40)</f>
        <v/>
      </c>
      <c r="I40" s="23">
        <f>STDEV(B40:G40)</f>
        <v/>
      </c>
      <c r="J40" s="23">
        <f>I40/H40*100</f>
        <v/>
      </c>
      <c r="K40" s="15">
        <f>IF(J40&lt;=20,"X",IF(J40&lt;=40,"Y","Z"))</f>
        <v/>
      </c>
      <c r="L40" s="15">
        <f>INDEX('ABC Analysis'!$E$3:$E$42,MATCH(A40,'ABC Analysis'!$A$3:$A$42,0))</f>
        <v/>
      </c>
      <c r="M40" s="15">
        <f>L40&amp;K40</f>
        <v/>
      </c>
      <c r="N40" s="21">
        <f>INDEX('ABC Analysis'!$B$3:$B$42,MATCH(A40,'ABC Analysis'!$A$3:$A$42,0))</f>
        <v/>
      </c>
    </row>
    <row r="41" ht="15" customHeight="1" s="16">
      <c r="A41" s="15" t="inlineStr">
        <is>
          <t>Paracetamol 500mg</t>
        </is>
      </c>
      <c r="B41" s="15" t="n">
        <v>189</v>
      </c>
      <c r="C41" s="15" t="n">
        <v>153</v>
      </c>
      <c r="D41" s="15" t="n">
        <v>165</v>
      </c>
      <c r="E41" s="15" t="n">
        <v>184</v>
      </c>
      <c r="F41" s="15" t="n">
        <v>257</v>
      </c>
      <c r="G41" s="15" t="n">
        <v>146</v>
      </c>
      <c r="H41" s="15">
        <f>AVERAGE(B41:G41)</f>
        <v/>
      </c>
      <c r="I41" s="23">
        <f>STDEV(B41:G41)</f>
        <v/>
      </c>
      <c r="J41" s="23">
        <f>I41/H41*100</f>
        <v/>
      </c>
      <c r="K41" s="15">
        <f>IF(J41&lt;=20,"X",IF(J41&lt;=40,"Y","Z"))</f>
        <v/>
      </c>
      <c r="L41" s="15">
        <f>INDEX('ABC Analysis'!$E$3:$E$42,MATCH(A41,'ABC Analysis'!$A$3:$A$42,0))</f>
        <v/>
      </c>
      <c r="M41" s="15">
        <f>L41&amp;K41</f>
        <v/>
      </c>
      <c r="N41" s="21">
        <f>INDEX('ABC Analysis'!$B$3:$B$42,MATCH(A41,'ABC Analysis'!$A$3:$A$42,0))</f>
        <v/>
      </c>
    </row>
    <row r="42" ht="15" customHeight="1" s="16">
      <c r="A42" s="15" t="inlineStr">
        <is>
          <t>ORS Sachet</t>
        </is>
      </c>
      <c r="B42" s="15" t="n">
        <v>259</v>
      </c>
      <c r="C42" s="15" t="n">
        <v>199</v>
      </c>
      <c r="D42" s="15" t="n">
        <v>149</v>
      </c>
      <c r="E42" s="15" t="n">
        <v>181</v>
      </c>
      <c r="F42" s="15" t="n">
        <v>202</v>
      </c>
      <c r="G42" s="15" t="n">
        <v>247</v>
      </c>
      <c r="H42" s="15">
        <f>AVERAGE(B42:G42)</f>
        <v/>
      </c>
      <c r="I42" s="23">
        <f>STDEV(B42:G42)</f>
        <v/>
      </c>
      <c r="J42" s="23">
        <f>I42/H42*100</f>
        <v/>
      </c>
      <c r="K42" s="15">
        <f>IF(J42&lt;=20,"X",IF(J42&lt;=40,"Y","Z"))</f>
        <v/>
      </c>
      <c r="L42" s="15">
        <f>INDEX('ABC Analysis'!$E$3:$E$42,MATCH(A42,'ABC Analysis'!$A$3:$A$42,0))</f>
        <v/>
      </c>
      <c r="M42" s="15">
        <f>L42&amp;K42</f>
        <v/>
      </c>
      <c r="N42" s="21">
        <f>INDEX('ABC Analysis'!$B$3:$B$42,MATCH(A42,'ABC Analysis'!$A$3:$A$42,0))</f>
        <v/>
      </c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15" min="1" max="11"/>
  </cols>
  <sheetData>
    <row r="1" ht="43" customHeight="1" s="16">
      <c r="A1" s="17" t="inlineStr">
        <is>
          <t>Support/Confidence/Lift for the top association-rule pairs, computed live from 'Basket Incidence' (1/0 flags per invoice for each of the 8 key products, restricted to the 7,399 invoices with 2+ product lines — matching the Apriori analysis, which only mines multi-item invoices). Count_A/Count_B = multi-item invoices containing that product; Co-count = multi-item invoices containing both (SUMPRODUCT of the two incidence columns). Support = Co-count / total multi-item invoices; Confidence = Co-count / Count_A; Lift = Confidence / (Count_B / total multi-item invoices). [Data-free edition: the source data sheets were removed; cells that read from them hold the computed values.]</t>
        </is>
      </c>
    </row>
    <row r="2" ht="15" customHeight="1" s="16">
      <c r="A2" s="18" t="inlineStr">
        <is>
          <t>Product A</t>
        </is>
      </c>
      <c r="B2" s="18" t="inlineStr">
        <is>
          <t>Product B</t>
        </is>
      </c>
      <c r="C2" s="18" t="inlineStr">
        <is>
          <t>Col_A</t>
        </is>
      </c>
      <c r="D2" s="18" t="inlineStr">
        <is>
          <t>Col_B</t>
        </is>
      </c>
      <c r="E2" s="18" t="inlineStr">
        <is>
          <t>Count_A</t>
        </is>
      </c>
      <c r="F2" s="18" t="inlineStr">
        <is>
          <t>Count_B</t>
        </is>
      </c>
      <c r="G2" s="18" t="inlineStr">
        <is>
          <t>Co-count</t>
        </is>
      </c>
      <c r="H2" s="18" t="inlineStr">
        <is>
          <t>Total Invoices</t>
        </is>
      </c>
      <c r="I2" s="18" t="inlineStr">
        <is>
          <t>Support</t>
        </is>
      </c>
      <c r="J2" s="18" t="inlineStr">
        <is>
          <t>Confidence</t>
        </is>
      </c>
      <c r="K2" s="18" t="inlineStr">
        <is>
          <t>Lift</t>
        </is>
      </c>
      <c r="M2" s="15" t="inlineStr">
        <is>
          <t>Pair</t>
        </is>
      </c>
    </row>
    <row r="3" ht="15" customHeight="1" s="16">
      <c r="A3" s="15" t="inlineStr">
        <is>
          <t>Clonazepam 0.5mg</t>
        </is>
      </c>
      <c r="B3" s="15" t="inlineStr">
        <is>
          <t>Amlodipine 5mg</t>
        </is>
      </c>
      <c r="C3" s="15" t="n">
        <v>1</v>
      </c>
      <c r="D3" s="15" t="n">
        <v>2</v>
      </c>
      <c r="E3" s="15" t="n">
        <v>845</v>
      </c>
      <c r="F3" s="15" t="n">
        <v>831</v>
      </c>
      <c r="G3" s="15" t="n">
        <v>149</v>
      </c>
      <c r="H3" s="15" t="n">
        <v>7399</v>
      </c>
      <c r="I3" s="22">
        <f>G3/H3</f>
        <v/>
      </c>
      <c r="J3" s="22">
        <f>G3/E3</f>
        <v/>
      </c>
      <c r="K3" s="23">
        <f>J3/(F3/H3)</f>
        <v/>
      </c>
      <c r="M3" s="15">
        <f>A3&amp;" + "&amp;B3</f>
        <v/>
      </c>
    </row>
    <row r="4" ht="15" customHeight="1" s="16">
      <c r="A4" s="15" t="inlineStr">
        <is>
          <t>Alprazolam 0.25mg</t>
        </is>
      </c>
      <c r="B4" s="15" t="inlineStr">
        <is>
          <t>Amlodipine 5mg</t>
        </is>
      </c>
      <c r="C4" s="15" t="n">
        <v>3</v>
      </c>
      <c r="D4" s="15" t="n">
        <v>2</v>
      </c>
      <c r="E4" s="15" t="n">
        <v>839</v>
      </c>
      <c r="F4" s="15" t="n">
        <v>831</v>
      </c>
      <c r="G4" s="15" t="n">
        <v>144</v>
      </c>
      <c r="H4" s="15" t="n">
        <v>7399</v>
      </c>
      <c r="I4" s="22">
        <f>G4/H4</f>
        <v/>
      </c>
      <c r="J4" s="22">
        <f>G4/E4</f>
        <v/>
      </c>
      <c r="K4" s="23">
        <f>J4/(F4/H4)</f>
        <v/>
      </c>
      <c r="M4" s="15">
        <f>A4&amp;" + "&amp;B4</f>
        <v/>
      </c>
    </row>
    <row r="5" ht="15" customHeight="1" s="16">
      <c r="A5" s="15" t="inlineStr">
        <is>
          <t>Clonazepam 0.5mg</t>
        </is>
      </c>
      <c r="B5" s="15" t="inlineStr">
        <is>
          <t>Alprazolam 0.25mg</t>
        </is>
      </c>
      <c r="C5" s="15" t="n">
        <v>1</v>
      </c>
      <c r="D5" s="15" t="n">
        <v>3</v>
      </c>
      <c r="E5" s="15" t="n">
        <v>845</v>
      </c>
      <c r="F5" s="15" t="n">
        <v>839</v>
      </c>
      <c r="G5" s="15" t="n">
        <v>144</v>
      </c>
      <c r="H5" s="15" t="n">
        <v>7399</v>
      </c>
      <c r="I5" s="22">
        <f>G5/H5</f>
        <v/>
      </c>
      <c r="J5" s="22">
        <f>G5/E5</f>
        <v/>
      </c>
      <c r="K5" s="23">
        <f>J5/(F5/H5)</f>
        <v/>
      </c>
      <c r="M5" s="15">
        <f>A5&amp;" + "&amp;B5</f>
        <v/>
      </c>
    </row>
    <row r="6" ht="15" customHeight="1" s="16">
      <c r="A6" s="15" t="inlineStr">
        <is>
          <t>Clonazepam 0.5mg</t>
        </is>
      </c>
      <c r="B6" s="15" t="inlineStr">
        <is>
          <t>Glimepiride 2mg</t>
        </is>
      </c>
      <c r="C6" s="15" t="n">
        <v>1</v>
      </c>
      <c r="D6" s="15" t="n">
        <v>4</v>
      </c>
      <c r="E6" s="15" t="n">
        <v>845</v>
      </c>
      <c r="F6" s="15" t="n">
        <v>840</v>
      </c>
      <c r="G6" s="15" t="n">
        <v>140</v>
      </c>
      <c r="H6" s="15" t="n">
        <v>7399</v>
      </c>
      <c r="I6" s="22">
        <f>G6/H6</f>
        <v/>
      </c>
      <c r="J6" s="22">
        <f>G6/E6</f>
        <v/>
      </c>
      <c r="K6" s="23">
        <f>J6/(F6/H6)</f>
        <v/>
      </c>
      <c r="M6" s="15">
        <f>A6&amp;" + "&amp;B6</f>
        <v/>
      </c>
    </row>
    <row r="7" ht="15" customHeight="1" s="16">
      <c r="A7" s="15" t="inlineStr">
        <is>
          <t>Atorvastatin 10mg</t>
        </is>
      </c>
      <c r="B7" s="15" t="inlineStr">
        <is>
          <t>Metoprolol 50mg</t>
        </is>
      </c>
      <c r="C7" s="15" t="n">
        <v>5</v>
      </c>
      <c r="D7" s="15" t="n">
        <v>6</v>
      </c>
      <c r="E7" s="15" t="n">
        <v>840</v>
      </c>
      <c r="F7" s="15" t="n">
        <v>815</v>
      </c>
      <c r="G7" s="15" t="n">
        <v>134</v>
      </c>
      <c r="H7" s="15" t="n">
        <v>7399</v>
      </c>
      <c r="I7" s="22">
        <f>G7/H7</f>
        <v/>
      </c>
      <c r="J7" s="22">
        <f>G7/E7</f>
        <v/>
      </c>
      <c r="K7" s="23">
        <f>J7/(F7/H7)</f>
        <v/>
      </c>
      <c r="M7" s="15">
        <f>A7&amp;" + "&amp;B7</f>
        <v/>
      </c>
    </row>
    <row r="8" ht="15" customHeight="1" s="16">
      <c r="A8" s="15" t="inlineStr">
        <is>
          <t>Levothyroxine 50mcg</t>
        </is>
      </c>
      <c r="B8" s="15" t="inlineStr">
        <is>
          <t>Atorvastatin 10mg</t>
        </is>
      </c>
      <c r="C8" s="15" t="n">
        <v>7</v>
      </c>
      <c r="D8" s="15" t="n">
        <v>5</v>
      </c>
      <c r="E8" s="15" t="n">
        <v>775</v>
      </c>
      <c r="F8" s="15" t="n">
        <v>840</v>
      </c>
      <c r="G8" s="15" t="n">
        <v>126</v>
      </c>
      <c r="H8" s="15" t="n">
        <v>7399</v>
      </c>
      <c r="I8" s="22">
        <f>G8/H8</f>
        <v/>
      </c>
      <c r="J8" s="22">
        <f>G8/E8</f>
        <v/>
      </c>
      <c r="K8" s="23">
        <f>J8/(F8/H8)</f>
        <v/>
      </c>
      <c r="M8" s="15">
        <f>A8&amp;" + "&amp;B8</f>
        <v/>
      </c>
    </row>
    <row r="9" ht="15" customHeight="1" s="16">
      <c r="A9" s="15" t="inlineStr">
        <is>
          <t>Glimepiride 2mg</t>
        </is>
      </c>
      <c r="B9" s="15" t="inlineStr">
        <is>
          <t>Metformin 500mg</t>
        </is>
      </c>
      <c r="C9" s="15" t="n">
        <v>4</v>
      </c>
      <c r="D9" s="15" t="n">
        <v>8</v>
      </c>
      <c r="E9" s="15" t="n">
        <v>840</v>
      </c>
      <c r="F9" s="15" t="n">
        <v>832</v>
      </c>
      <c r="G9" s="15" t="n">
        <v>135</v>
      </c>
      <c r="H9" s="15" t="n">
        <v>7399</v>
      </c>
      <c r="I9" s="22">
        <f>G9/H9</f>
        <v/>
      </c>
      <c r="J9" s="22">
        <f>G9/E9</f>
        <v/>
      </c>
      <c r="K9" s="23">
        <f>J9/(F9/H9)</f>
        <v/>
      </c>
      <c r="M9" s="15">
        <f>A9&amp;" + "&amp;B9</f>
        <v/>
      </c>
    </row>
    <row r="10" ht="15" customHeight="1" s="16">
      <c r="A10" s="15" t="inlineStr">
        <is>
          <t>Atorvastatin 10mg</t>
        </is>
      </c>
      <c r="B10" s="15" t="inlineStr">
        <is>
          <t>Glimepiride 2mg</t>
        </is>
      </c>
      <c r="C10" s="15" t="n">
        <v>5</v>
      </c>
      <c r="D10" s="15" t="n">
        <v>4</v>
      </c>
      <c r="E10" s="15" t="n">
        <v>840</v>
      </c>
      <c r="F10" s="15" t="n">
        <v>840</v>
      </c>
      <c r="G10" s="15" t="n">
        <v>135</v>
      </c>
      <c r="H10" s="15" t="n">
        <v>7399</v>
      </c>
      <c r="I10" s="22">
        <f>G10/H10</f>
        <v/>
      </c>
      <c r="J10" s="22">
        <f>G10/E10</f>
        <v/>
      </c>
      <c r="K10" s="23">
        <f>J10/(F10/H10)</f>
        <v/>
      </c>
      <c r="M10" s="15">
        <f>A10&amp;" + "&amp;B10</f>
        <v/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5" min="1" max="1"/>
    <col width="20" customWidth="1" style="15" min="2" max="4"/>
  </cols>
  <sheetData>
    <row r="1" ht="43" customHeight="1" s="16">
      <c r="A1" s="17" t="inlineStr">
        <is>
          <t>Monthly revenue computed live via SUMIFS on 'Raw Data'. Holdout validation trains a linear trend (SLOPE/INTERCEPT) on Jan-May and tests it against actual June to compute MAE and MAPE. The full-data trend (all 6 months) is then used to project July 2024. [Data-free edition: the source data sheets were removed; cells that read from them hold the computed values.]</t>
        </is>
      </c>
    </row>
    <row r="2" ht="23.25" customHeight="1" s="16">
      <c r="A2" s="18" t="inlineStr">
        <is>
          <t>Month</t>
        </is>
      </c>
      <c r="B2" s="18" t="inlineStr">
        <is>
          <t>Month Index</t>
        </is>
      </c>
      <c r="C2" s="18" t="inlineStr">
        <is>
          <t>Revenue (₹)</t>
        </is>
      </c>
      <c r="D2" s="18" t="inlineStr">
        <is>
          <t>Trend Fit (trained Jan-May)</t>
        </is>
      </c>
    </row>
    <row r="3" ht="15" customHeight="1" s="16">
      <c r="A3" s="15" t="inlineStr">
        <is>
          <t>Jan-24</t>
        </is>
      </c>
      <c r="B3" s="15" t="n">
        <v>1</v>
      </c>
      <c r="C3" s="21" t="n">
        <v>1543743.54</v>
      </c>
      <c r="D3" s="21">
        <f>$B$11*B3+$B$12</f>
        <v/>
      </c>
    </row>
    <row r="4" ht="15" customHeight="1" s="16">
      <c r="A4" s="15" t="inlineStr">
        <is>
          <t>Feb-24</t>
        </is>
      </c>
      <c r="B4" s="15" t="n">
        <v>2</v>
      </c>
      <c r="C4" s="21" t="n">
        <v>1475679.73</v>
      </c>
      <c r="D4" s="21">
        <f>$B$11*B4+$B$12</f>
        <v/>
      </c>
    </row>
    <row r="5" ht="15" customHeight="1" s="16">
      <c r="A5" s="15" t="inlineStr">
        <is>
          <t>Mar-24</t>
        </is>
      </c>
      <c r="B5" s="15" t="n">
        <v>3</v>
      </c>
      <c r="C5" s="21" t="n">
        <v>1611921.74</v>
      </c>
      <c r="D5" s="21">
        <f>$B$11*B5+$B$12</f>
        <v/>
      </c>
    </row>
    <row r="6" ht="15" customHeight="1" s="16">
      <c r="A6" s="15" t="inlineStr">
        <is>
          <t>Apr-24</t>
        </is>
      </c>
      <c r="B6" s="15" t="n">
        <v>4</v>
      </c>
      <c r="C6" s="21" t="n">
        <v>1469148.8</v>
      </c>
      <c r="D6" s="21">
        <f>$B$11*B6+$B$12</f>
        <v/>
      </c>
    </row>
    <row r="7" ht="15" customHeight="1" s="16">
      <c r="A7" s="15" t="inlineStr">
        <is>
          <t>May-24</t>
        </is>
      </c>
      <c r="B7" s="15" t="n">
        <v>5</v>
      </c>
      <c r="C7" s="21" t="n">
        <v>1524644.45</v>
      </c>
      <c r="D7" s="21">
        <f>$B$11*B7+$B$12</f>
        <v/>
      </c>
    </row>
    <row r="8" ht="15" customHeight="1" s="16">
      <c r="A8" s="15" t="inlineStr">
        <is>
          <t>Jun-24</t>
        </is>
      </c>
      <c r="B8" s="15" t="n">
        <v>6</v>
      </c>
      <c r="C8" s="21" t="n">
        <v>1570149.28</v>
      </c>
      <c r="D8" s="21">
        <f>$B$11*B8+$B$12</f>
        <v/>
      </c>
    </row>
    <row r="9"/>
    <row r="10" ht="15" customHeight="1" s="16">
      <c r="A10" s="17" t="inlineStr">
        <is>
          <t>Holdout validation (trained on Jan-May, tested against actual June):</t>
        </is>
      </c>
    </row>
    <row r="11" ht="15" customHeight="1" s="16">
      <c r="A11" s="15" t="inlineStr">
        <is>
          <t>Train Slope</t>
        </is>
      </c>
      <c r="B11" s="15">
        <f>SLOPE(C3:C7,B3:B7)</f>
        <v/>
      </c>
    </row>
    <row r="12" ht="15" customHeight="1" s="16">
      <c r="A12" s="15" t="inlineStr">
        <is>
          <t>Train Intercept</t>
        </is>
      </c>
      <c r="B12" s="15">
        <f>INTERCEPT(C3:C7,B3:B7)</f>
        <v/>
      </c>
    </row>
    <row r="13" ht="15" customHeight="1" s="16">
      <c r="A13" s="15" t="inlineStr">
        <is>
          <t>Predicted June Revenue</t>
        </is>
      </c>
      <c r="B13" s="21">
        <f>B11*B8+B12</f>
        <v/>
      </c>
    </row>
    <row r="14" ht="15" customHeight="1" s="16">
      <c r="A14" s="15" t="inlineStr">
        <is>
          <t>Actual June Revenue</t>
        </is>
      </c>
      <c r="B14" s="21">
        <f>C8</f>
        <v/>
      </c>
    </row>
    <row r="15" ht="15" customHeight="1" s="16">
      <c r="A15" s="15" t="inlineStr">
        <is>
          <t>MAE</t>
        </is>
      </c>
      <c r="B15" s="21">
        <f>ABS(B13-B14)</f>
        <v/>
      </c>
    </row>
    <row r="16" ht="15" customHeight="1" s="16">
      <c r="A16" s="15" t="inlineStr">
        <is>
          <t>MAPE</t>
        </is>
      </c>
      <c r="B16" s="22">
        <f>B15/B14</f>
        <v/>
      </c>
    </row>
    <row r="17"/>
    <row r="18" ht="15" customHeight="1" s="16">
      <c r="A18" s="17" t="inlineStr">
        <is>
          <t>Full-data trend (all 6 months) and July 2024 forecast:</t>
        </is>
      </c>
    </row>
    <row r="19" ht="15" customHeight="1" s="16">
      <c r="A19" s="15" t="inlineStr">
        <is>
          <t>Full Slope</t>
        </is>
      </c>
      <c r="B19" s="15">
        <f>SLOPE(C3:C8,B3:B8)</f>
        <v/>
      </c>
    </row>
    <row r="20" ht="15" customHeight="1" s="16">
      <c r="A20" s="15" t="inlineStr">
        <is>
          <t>Full Intercept</t>
        </is>
      </c>
      <c r="B20" s="15">
        <f>INTERCEPT(C3:C8,B3:B8)</f>
        <v/>
      </c>
    </row>
    <row r="21" ht="15" customHeight="1" s="16">
      <c r="A21" s="15" t="inlineStr">
        <is>
          <t>July 2024 Forecast</t>
        </is>
      </c>
      <c r="B21" s="21">
        <f>B19*7+B20</f>
        <v/>
      </c>
    </row>
    <row r="22"/>
    <row r="23" ht="15" customHeight="1" s="16">
      <c r="A23" s="17" t="inlineStr">
        <is>
          <t>Chart data: monthly revenue with July 2024 forecast (Actual / Forecast split for two-colour bars)</t>
        </is>
      </c>
    </row>
    <row r="24" ht="15" customHeight="1" s="16">
      <c r="A24" s="18" t="inlineStr">
        <is>
          <t>Month</t>
        </is>
      </c>
      <c r="B24" s="18" t="inlineStr">
        <is>
          <t>Actual Revenue (₹)</t>
        </is>
      </c>
      <c r="C24" s="18" t="inlineStr">
        <is>
          <t>Forecast Revenue (₹)</t>
        </is>
      </c>
    </row>
    <row r="25" ht="15" customHeight="1" s="16">
      <c r="A25" s="15" t="inlineStr">
        <is>
          <t>Jan-24</t>
        </is>
      </c>
      <c r="B25" s="21">
        <f>C3</f>
        <v/>
      </c>
      <c r="C25" s="21" t="n"/>
    </row>
    <row r="26" ht="15" customHeight="1" s="16">
      <c r="A26" s="15" t="inlineStr">
        <is>
          <t>Feb-24</t>
        </is>
      </c>
      <c r="B26" s="21">
        <f>C4</f>
        <v/>
      </c>
      <c r="C26" s="21" t="n"/>
    </row>
    <row r="27" ht="15" customHeight="1" s="16">
      <c r="A27" s="15" t="inlineStr">
        <is>
          <t>Mar-24</t>
        </is>
      </c>
      <c r="B27" s="21">
        <f>C5</f>
        <v/>
      </c>
      <c r="C27" s="21" t="n"/>
    </row>
    <row r="28" ht="15" customHeight="1" s="16">
      <c r="A28" s="15" t="inlineStr">
        <is>
          <t>Apr-24</t>
        </is>
      </c>
      <c r="B28" s="21">
        <f>C6</f>
        <v/>
      </c>
      <c r="C28" s="21" t="n"/>
    </row>
    <row r="29" ht="15" customHeight="1" s="16">
      <c r="A29" s="15" t="inlineStr">
        <is>
          <t>May-24</t>
        </is>
      </c>
      <c r="B29" s="21">
        <f>C7</f>
        <v/>
      </c>
      <c r="C29" s="21" t="n"/>
    </row>
    <row r="30" ht="15" customHeight="1" s="16">
      <c r="A30" s="15" t="inlineStr">
        <is>
          <t>Jun-24</t>
        </is>
      </c>
      <c r="B30" s="21">
        <f>C8</f>
        <v/>
      </c>
      <c r="C30" s="21" t="n"/>
    </row>
    <row r="31" ht="15" customHeight="1" s="16">
      <c r="A31" s="15" t="inlineStr">
        <is>
          <t>Jul-24 (F)</t>
        </is>
      </c>
      <c r="B31" s="21" t="n"/>
      <c r="C31" s="21">
        <f>B21</f>
        <v/>
      </c>
    </row>
  </sheetData>
  <mergeCells count="2">
    <mergeCell ref="A23:D23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5" min="1" max="8"/>
    <col width="16" customWidth="1" style="15" min="10" max="10"/>
  </cols>
  <sheetData>
    <row r="1" ht="15" customHeight="1" s="16">
      <c r="A1" s="17" t="inlineStr">
        <is>
          <t>Safety stock and reorder point for the 5 AY (high-revenue, unstable-demand) products, using each product's daily-demand mean and sample standard deviation from 'Daily Demand Detail'. Assumptions (yellow): 3-day replenishment lead time; Z = 1.65 for a 95% service level. Safety Stock = Z x StdDev x SQRT(Lead Time). Reorder Point = (Avg. Daily Demand x Lead Time) + Safety Stock.</t>
        </is>
      </c>
    </row>
    <row r="2" ht="23.25" customHeight="1" s="16">
      <c r="A2" s="18" t="inlineStr">
        <is>
          <t>Product</t>
        </is>
      </c>
      <c r="B2" s="18" t="inlineStr">
        <is>
          <t>Revenue (₹)</t>
        </is>
      </c>
      <c r="C2" s="18" t="inlineStr">
        <is>
          <t>Demand CV %</t>
        </is>
      </c>
      <c r="D2" s="18" t="inlineStr">
        <is>
          <t>Avg. Daily Demand (units)</t>
        </is>
      </c>
      <c r="E2" s="18" t="inlineStr">
        <is>
          <t>StdDev Daily Demand</t>
        </is>
      </c>
      <c r="F2" s="18" t="inlineStr">
        <is>
          <t>Lead Time (days)</t>
        </is>
      </c>
      <c r="G2" s="18" t="inlineStr">
        <is>
          <t>Safety Stock (units)</t>
        </is>
      </c>
      <c r="H2" s="18" t="inlineStr">
        <is>
          <t>Reorder Point (units)</t>
        </is>
      </c>
      <c r="J2" s="17" t="inlineStr">
        <is>
          <t>Assumptions:</t>
        </is>
      </c>
    </row>
    <row r="3" ht="15" customHeight="1" s="16">
      <c r="A3" s="15" t="inlineStr">
        <is>
          <t>Salbutamol Inhaler</t>
        </is>
      </c>
      <c r="B3" s="21">
        <f>INDEX('ABC Analysis'!$B$3:$B$42,MATCH(A3,'ABC Analysis'!$A$3:$A$42,0))</f>
        <v/>
      </c>
      <c r="C3" s="23">
        <f>INDEX('ABC-XYZ Analysis'!$J$3:$J$42,MATCH(A3,'ABC-XYZ Analysis'!$A$3:$A$42,0))</f>
        <v/>
      </c>
      <c r="D3" s="25">
        <f>AVERAGE('Daily Demand Detail'!$B$3:$B$184)</f>
        <v/>
      </c>
      <c r="E3" s="23">
        <f>STDEV('Daily Demand Detail'!$B$3:$B$184)</f>
        <v/>
      </c>
      <c r="F3" s="15">
        <f>$K$3</f>
        <v/>
      </c>
      <c r="G3" s="15">
        <f>ROUND($K$4*E3*SQRT(F3),0)</f>
        <v/>
      </c>
      <c r="H3" s="15">
        <f>ROUND(D3*F3+G3,0)</f>
        <v/>
      </c>
      <c r="J3" s="15" t="inlineStr">
        <is>
          <t>Lead Time (days)</t>
        </is>
      </c>
      <c r="K3" s="26" t="n">
        <v>3</v>
      </c>
    </row>
    <row r="4" ht="15" customHeight="1" s="16">
      <c r="A4" s="15" t="inlineStr">
        <is>
          <t>Vitamin D3 60K</t>
        </is>
      </c>
      <c r="B4" s="21">
        <f>INDEX('ABC Analysis'!$B$3:$B$42,MATCH(A4,'ABC Analysis'!$A$3:$A$42,0))</f>
        <v/>
      </c>
      <c r="C4" s="23">
        <f>INDEX('ABC-XYZ Analysis'!$J$3:$J$42,MATCH(A4,'ABC-XYZ Analysis'!$A$3:$A$42,0))</f>
        <v/>
      </c>
      <c r="D4" s="25">
        <f>AVERAGE('Daily Demand Detail'!$C$3:$C$184)</f>
        <v/>
      </c>
      <c r="E4" s="23">
        <f>STDEV('Daily Demand Detail'!$C$3:$C$184)</f>
        <v/>
      </c>
      <c r="F4" s="15">
        <f>$K$3</f>
        <v/>
      </c>
      <c r="G4" s="15">
        <f>ROUND($K$4*E4*SQRT(F4),0)</f>
        <v/>
      </c>
      <c r="H4" s="15">
        <f>ROUND(D4*F4+G4,0)</f>
        <v/>
      </c>
      <c r="J4" s="15" t="inlineStr">
        <is>
          <t>Service Level Z</t>
        </is>
      </c>
      <c r="K4" s="26" t="n">
        <v>1.65</v>
      </c>
    </row>
    <row r="5" ht="15" customHeight="1" s="16">
      <c r="A5" s="15" t="inlineStr">
        <is>
          <t>Volini Spray 100g</t>
        </is>
      </c>
      <c r="B5" s="21">
        <f>INDEX('ABC Analysis'!$B$3:$B$42,MATCH(A5,'ABC Analysis'!$A$3:$A$42,0))</f>
        <v/>
      </c>
      <c r="C5" s="23">
        <f>INDEX('ABC-XYZ Analysis'!$J$3:$J$42,MATCH(A5,'ABC-XYZ Analysis'!$A$3:$A$42,0))</f>
        <v/>
      </c>
      <c r="D5" s="25">
        <f>AVERAGE('Daily Demand Detail'!$D$3:$D$184)</f>
        <v/>
      </c>
      <c r="E5" s="23">
        <f>STDEV('Daily Demand Detail'!$D$3:$D$184)</f>
        <v/>
      </c>
      <c r="F5" s="15">
        <f>$K$3</f>
        <v/>
      </c>
      <c r="G5" s="15">
        <f>ROUND($K$4*E5*SQRT(F5),0)</f>
        <v/>
      </c>
      <c r="H5" s="15">
        <f>ROUND(D5*F5+G5,0)</f>
        <v/>
      </c>
    </row>
    <row r="6" ht="15" customHeight="1" s="16">
      <c r="A6" s="15" t="inlineStr">
        <is>
          <t>Montelukast 10mg</t>
        </is>
      </c>
      <c r="B6" s="21">
        <f>INDEX('ABC Analysis'!$B$3:$B$42,MATCH(A6,'ABC Analysis'!$A$3:$A$42,0))</f>
        <v/>
      </c>
      <c r="C6" s="23">
        <f>INDEX('ABC-XYZ Analysis'!$J$3:$J$42,MATCH(A6,'ABC-XYZ Analysis'!$A$3:$A$42,0))</f>
        <v/>
      </c>
      <c r="D6" s="25">
        <f>AVERAGE('Daily Demand Detail'!$E$3:$E$184)</f>
        <v/>
      </c>
      <c r="E6" s="23">
        <f>STDEV('Daily Demand Detail'!$E$3:$E$184)</f>
        <v/>
      </c>
      <c r="F6" s="15">
        <f>$K$3</f>
        <v/>
      </c>
      <c r="G6" s="15">
        <f>ROUND($K$4*E6*SQRT(F6),0)</f>
        <v/>
      </c>
      <c r="H6" s="15">
        <f>ROUND(D6*F6+G6,0)</f>
        <v/>
      </c>
    </row>
    <row r="7" ht="15" customHeight="1" s="16">
      <c r="A7" s="15" t="inlineStr">
        <is>
          <t>Calcium + D3</t>
        </is>
      </c>
      <c r="B7" s="21">
        <f>INDEX('ABC Analysis'!$B$3:$B$42,MATCH(A7,'ABC Analysis'!$A$3:$A$42,0))</f>
        <v/>
      </c>
      <c r="C7" s="23">
        <f>INDEX('ABC-XYZ Analysis'!$J$3:$J$42,MATCH(A7,'ABC-XYZ Analysis'!$A$3:$A$42,0))</f>
        <v/>
      </c>
      <c r="D7" s="25">
        <f>AVERAGE('Daily Demand Detail'!$F$3:$F$184)</f>
        <v/>
      </c>
      <c r="E7" s="23">
        <f>STDEV('Daily Demand Detail'!$F$3:$F$184)</f>
        <v/>
      </c>
      <c r="F7" s="15">
        <f>$K$3</f>
        <v/>
      </c>
      <c r="G7" s="15">
        <f>ROUND($K$4*E7*SQRT(F7),0)</f>
        <v/>
      </c>
      <c r="H7" s="15">
        <f>ROUND(D7*F7+G7,0)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5" min="1" max="1"/>
    <col width="16" customWidth="1" style="15" min="2" max="2"/>
  </cols>
  <sheetData>
    <row r="1" ht="43" customHeight="1" s="16">
      <c r="A1" s="17" t="inlineStr">
        <is>
          <t>Invoice-value and basket-size statistics computed live from 'Invoice Pivot' (one row per invoice, Invoice_Total and Item_Count columns). [Data-free edition: the source data sheets were removed; cells that read from them hold the computed values.]</t>
        </is>
      </c>
    </row>
    <row r="2"/>
    <row r="3" ht="15" customHeight="1" s="16">
      <c r="A3" s="27" t="inlineStr">
        <is>
          <t>Invoice Value (₹)</t>
        </is>
      </c>
    </row>
    <row r="4" ht="15" customHeight="1" s="16">
      <c r="A4" s="15" t="inlineStr">
        <is>
          <t>Count (invoices)</t>
        </is>
      </c>
      <c r="B4" s="20" t="n">
        <v>13355</v>
      </c>
    </row>
    <row r="5" ht="15" customHeight="1" s="16">
      <c r="A5" s="15" t="inlineStr">
        <is>
          <t>Mean</t>
        </is>
      </c>
      <c r="B5" s="21" t="n">
        <v>688.527707974541</v>
      </c>
    </row>
    <row r="6" ht="15" customHeight="1" s="16">
      <c r="A6" s="15" t="inlineStr">
        <is>
          <t>Median</t>
        </is>
      </c>
      <c r="B6" s="21" t="n">
        <v>395.08</v>
      </c>
    </row>
    <row r="7" ht="15" customHeight="1" s="16">
      <c r="A7" s="15" t="inlineStr">
        <is>
          <t>Standard Deviation</t>
        </is>
      </c>
      <c r="B7" s="21" t="n">
        <v>929.985114612247</v>
      </c>
    </row>
    <row r="8" ht="15" customHeight="1" s="16">
      <c r="A8" s="15" t="inlineStr">
        <is>
          <t>Minimum</t>
        </is>
      </c>
      <c r="B8" s="21" t="n">
        <v>14.28</v>
      </c>
    </row>
    <row r="9" ht="15" customHeight="1" s="16">
      <c r="A9" s="15" t="inlineStr">
        <is>
          <t>Maximum</t>
        </is>
      </c>
      <c r="B9" s="21" t="n">
        <v>10466.4</v>
      </c>
    </row>
    <row r="10" ht="15" customHeight="1" s="16">
      <c r="A10" s="15" t="inlineStr">
        <is>
          <t>Range</t>
        </is>
      </c>
      <c r="B10" s="21">
        <f>B9-B8</f>
        <v/>
      </c>
    </row>
    <row r="11" ht="15" customHeight="1" s="16">
      <c r="A11" s="15" t="inlineStr">
        <is>
          <t>1st Quartile (Q1)</t>
        </is>
      </c>
      <c r="B11" s="21" t="n">
        <v>190.4</v>
      </c>
    </row>
    <row r="12" ht="15" customHeight="1" s="16">
      <c r="A12" s="15" t="inlineStr">
        <is>
          <t>3rd Quartile (Q3)</t>
        </is>
      </c>
      <c r="B12" s="21" t="n">
        <v>836.84</v>
      </c>
    </row>
    <row r="13" ht="15" customHeight="1" s="16">
      <c r="A13" s="15" t="inlineStr">
        <is>
          <t>Coefficient of Variation</t>
        </is>
      </c>
      <c r="B13" s="23">
        <f>B7/B5*100</f>
        <v/>
      </c>
    </row>
    <row r="14"/>
    <row r="15"/>
    <row r="16" ht="15" customHeight="1" s="16">
      <c r="A16" s="27" t="inlineStr">
        <is>
          <t>Basket Size (items/invoice)</t>
        </is>
      </c>
    </row>
    <row r="17" ht="15" customHeight="1" s="16">
      <c r="A17" s="15" t="inlineStr">
        <is>
          <t>Mean</t>
        </is>
      </c>
      <c r="B17" s="23" t="n">
        <v>1.91029576937477</v>
      </c>
    </row>
    <row r="18" ht="15" customHeight="1" s="16">
      <c r="A18" s="15" t="inlineStr">
        <is>
          <t>Median</t>
        </is>
      </c>
      <c r="B18" s="23" t="n">
        <v>2</v>
      </c>
    </row>
    <row r="19" ht="15" customHeight="1" s="16">
      <c r="A19" s="15" t="inlineStr">
        <is>
          <t>Mode</t>
        </is>
      </c>
      <c r="B19" s="20" t="n">
        <v>1</v>
      </c>
    </row>
    <row r="20" ht="15" customHeight="1" s="16">
      <c r="A20" s="15" t="inlineStr">
        <is>
          <t>Minimum</t>
        </is>
      </c>
      <c r="B20" s="20" t="n">
        <v>1</v>
      </c>
    </row>
    <row r="21" ht="15" customHeight="1" s="16">
      <c r="A21" s="15" t="inlineStr">
        <is>
          <t>Maximum</t>
        </is>
      </c>
      <c r="B21" s="20" t="n">
        <v>4</v>
      </c>
    </row>
    <row r="22" ht="15" customHeight="1" s="16">
      <c r="A22" s="15" t="inlineStr">
        <is>
          <t>Standard Deviation</t>
        </is>
      </c>
      <c r="B22" s="23" t="n">
        <v>0.997470754270351</v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1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5" min="1" max="6"/>
  </cols>
  <sheetData>
    <row r="1" ht="43" customHeight="1" s="16">
      <c r="A1" s="17" t="inlineStr">
        <is>
          <t>Daily unit demand for the five AY (high-revenue, variable-demand) products, computed live via SUMIFS on 'Raw Data'. Zero is entered on days with no recorded sale so the average and standard deviation reflect the full 182-day period (1 Jan-30 Jun 2024), not just days with a sale. [Data-free edition: the source data sheets were removed; cells that read from them hold the computed values.]</t>
        </is>
      </c>
    </row>
    <row r="2" ht="23.25" customHeight="1" s="16">
      <c r="A2" s="18" t="inlineStr">
        <is>
          <t>Date</t>
        </is>
      </c>
      <c r="B2" s="18" t="inlineStr">
        <is>
          <t>Salbutamol Inhaler</t>
        </is>
      </c>
      <c r="C2" s="18" t="inlineStr">
        <is>
          <t>Vitamin D3 60K</t>
        </is>
      </c>
      <c r="D2" s="18" t="inlineStr">
        <is>
          <t>Volini Spray 100g</t>
        </is>
      </c>
      <c r="E2" s="18" t="inlineStr">
        <is>
          <t>Montelukast 10mg</t>
        </is>
      </c>
      <c r="F2" s="18" t="inlineStr">
        <is>
          <t>Calcium + D3</t>
        </is>
      </c>
    </row>
    <row r="3" ht="15" customHeight="1" s="16">
      <c r="A3" s="28" t="n">
        <v>45292</v>
      </c>
      <c r="B3" s="15" t="n">
        <v>11</v>
      </c>
      <c r="C3" s="15" t="n">
        <v>8</v>
      </c>
      <c r="D3" s="15" t="n">
        <v>4</v>
      </c>
      <c r="E3" s="15" t="n">
        <v>5</v>
      </c>
      <c r="F3" s="15" t="n">
        <v>3</v>
      </c>
    </row>
    <row r="4" ht="15" customHeight="1" s="16">
      <c r="A4" s="28" t="n">
        <v>45293</v>
      </c>
      <c r="B4" s="15" t="n">
        <v>8</v>
      </c>
      <c r="C4" s="15" t="n">
        <v>2</v>
      </c>
      <c r="D4" s="15" t="n">
        <v>5</v>
      </c>
      <c r="E4" s="15" t="n">
        <v>9</v>
      </c>
      <c r="F4" s="15" t="n">
        <v>11</v>
      </c>
    </row>
    <row r="5" ht="15" customHeight="1" s="16">
      <c r="A5" s="28" t="n">
        <v>45294</v>
      </c>
      <c r="B5" s="15" t="n">
        <v>31</v>
      </c>
      <c r="C5" s="15" t="n">
        <v>2</v>
      </c>
      <c r="D5" s="15" t="n">
        <v>11</v>
      </c>
      <c r="E5" s="15" t="n">
        <v>18</v>
      </c>
      <c r="F5" s="15" t="n">
        <v>4</v>
      </c>
    </row>
    <row r="6" ht="15" customHeight="1" s="16">
      <c r="A6" s="28" t="n">
        <v>45295</v>
      </c>
      <c r="B6" s="15" t="n">
        <v>18</v>
      </c>
      <c r="C6" s="15" t="n">
        <v>0</v>
      </c>
      <c r="D6" s="15" t="n">
        <v>12</v>
      </c>
      <c r="E6" s="15" t="n">
        <v>7</v>
      </c>
      <c r="F6" s="15" t="n">
        <v>0</v>
      </c>
    </row>
    <row r="7" ht="15" customHeight="1" s="16">
      <c r="A7" s="28" t="n">
        <v>45296</v>
      </c>
      <c r="B7" s="15" t="n">
        <v>11</v>
      </c>
      <c r="C7" s="15" t="n">
        <v>6</v>
      </c>
      <c r="D7" s="15" t="n">
        <v>10</v>
      </c>
      <c r="E7" s="15" t="n">
        <v>14</v>
      </c>
      <c r="F7" s="15" t="n">
        <v>13</v>
      </c>
    </row>
    <row r="8" ht="15" customHeight="1" s="16">
      <c r="A8" s="28" t="n">
        <v>45297</v>
      </c>
      <c r="B8" s="15" t="n">
        <v>9</v>
      </c>
      <c r="C8" s="15" t="n">
        <v>4</v>
      </c>
      <c r="D8" s="15" t="n">
        <v>15</v>
      </c>
      <c r="E8" s="15" t="n">
        <v>8</v>
      </c>
      <c r="F8" s="15" t="n">
        <v>7</v>
      </c>
    </row>
    <row r="9" ht="15" customHeight="1" s="16">
      <c r="A9" s="28" t="n">
        <v>45298</v>
      </c>
      <c r="B9" s="15" t="n">
        <v>13</v>
      </c>
      <c r="C9" s="15" t="n">
        <v>0</v>
      </c>
      <c r="D9" s="15" t="n">
        <v>5</v>
      </c>
      <c r="E9" s="15" t="n">
        <v>5</v>
      </c>
      <c r="F9" s="15" t="n">
        <v>2</v>
      </c>
    </row>
    <row r="10" ht="15" customHeight="1" s="16">
      <c r="A10" s="28" t="n">
        <v>45299</v>
      </c>
      <c r="B10" s="15" t="n">
        <v>3</v>
      </c>
      <c r="C10" s="15" t="n">
        <v>4</v>
      </c>
      <c r="D10" s="15" t="n">
        <v>0</v>
      </c>
      <c r="E10" s="15" t="n">
        <v>9</v>
      </c>
      <c r="F10" s="15" t="n">
        <v>8</v>
      </c>
    </row>
    <row r="11" ht="15" customHeight="1" s="16">
      <c r="A11" s="28" t="n">
        <v>45300</v>
      </c>
      <c r="B11" s="15" t="n">
        <v>8</v>
      </c>
      <c r="C11" s="15" t="n">
        <v>0</v>
      </c>
      <c r="D11" s="15" t="n">
        <v>19</v>
      </c>
      <c r="E11" s="15" t="n">
        <v>4</v>
      </c>
      <c r="F11" s="15" t="n">
        <v>10</v>
      </c>
    </row>
    <row r="12" ht="15" customHeight="1" s="16">
      <c r="A12" s="28" t="n">
        <v>45301</v>
      </c>
      <c r="B12" s="15" t="n">
        <v>17</v>
      </c>
      <c r="C12" s="15" t="n">
        <v>0</v>
      </c>
      <c r="D12" s="15" t="n">
        <v>3</v>
      </c>
      <c r="E12" s="15" t="n">
        <v>5</v>
      </c>
      <c r="F12" s="15" t="n">
        <v>11</v>
      </c>
    </row>
    <row r="13" ht="15" customHeight="1" s="16">
      <c r="A13" s="28" t="n">
        <v>45302</v>
      </c>
      <c r="B13" s="15" t="n">
        <v>12</v>
      </c>
      <c r="C13" s="15" t="n">
        <v>13</v>
      </c>
      <c r="D13" s="15" t="n">
        <v>0</v>
      </c>
      <c r="E13" s="15" t="n">
        <v>4</v>
      </c>
      <c r="F13" s="15" t="n">
        <v>1</v>
      </c>
    </row>
    <row r="14" ht="15" customHeight="1" s="16">
      <c r="A14" s="28" t="n">
        <v>45303</v>
      </c>
      <c r="B14" s="15" t="n">
        <v>11</v>
      </c>
      <c r="C14" s="15" t="n">
        <v>5</v>
      </c>
      <c r="D14" s="15" t="n">
        <v>28</v>
      </c>
      <c r="E14" s="15" t="n">
        <v>5</v>
      </c>
      <c r="F14" s="15" t="n">
        <v>18</v>
      </c>
    </row>
    <row r="15" ht="15" customHeight="1" s="16">
      <c r="A15" s="28" t="n">
        <v>45304</v>
      </c>
      <c r="B15" s="15" t="n">
        <v>9</v>
      </c>
      <c r="C15" s="15" t="n">
        <v>6</v>
      </c>
      <c r="D15" s="15" t="n">
        <v>1</v>
      </c>
      <c r="E15" s="15" t="n">
        <v>7</v>
      </c>
      <c r="F15" s="15" t="n">
        <v>6</v>
      </c>
    </row>
    <row r="16" ht="15" customHeight="1" s="16">
      <c r="A16" s="28" t="n">
        <v>45305</v>
      </c>
      <c r="B16" s="15" t="n">
        <v>5</v>
      </c>
      <c r="C16" s="15" t="n">
        <v>1</v>
      </c>
      <c r="D16" s="15" t="n">
        <v>4</v>
      </c>
      <c r="E16" s="15" t="n">
        <v>5</v>
      </c>
      <c r="F16" s="15" t="n">
        <v>0</v>
      </c>
    </row>
    <row r="17" ht="15" customHeight="1" s="16">
      <c r="A17" s="28" t="n">
        <v>45306</v>
      </c>
      <c r="B17" s="15" t="n">
        <v>27</v>
      </c>
      <c r="C17" s="15" t="n">
        <v>4</v>
      </c>
      <c r="D17" s="15" t="n">
        <v>0</v>
      </c>
      <c r="E17" s="15" t="n">
        <v>7</v>
      </c>
      <c r="F17" s="15" t="n">
        <v>0</v>
      </c>
    </row>
    <row r="18" ht="15" customHeight="1" s="16">
      <c r="A18" s="28" t="n">
        <v>45307</v>
      </c>
      <c r="B18" s="15" t="n">
        <v>6</v>
      </c>
      <c r="C18" s="15" t="n">
        <v>2</v>
      </c>
      <c r="D18" s="15" t="n">
        <v>10</v>
      </c>
      <c r="E18" s="15" t="n">
        <v>5</v>
      </c>
      <c r="F18" s="15" t="n">
        <v>5</v>
      </c>
    </row>
    <row r="19" ht="15" customHeight="1" s="16">
      <c r="A19" s="28" t="n">
        <v>45308</v>
      </c>
      <c r="B19" s="15" t="n">
        <v>7</v>
      </c>
      <c r="C19" s="15" t="n">
        <v>8</v>
      </c>
      <c r="D19" s="15" t="n">
        <v>16</v>
      </c>
      <c r="E19" s="15" t="n">
        <v>14</v>
      </c>
      <c r="F19" s="15" t="n">
        <v>7</v>
      </c>
    </row>
    <row r="20" ht="15" customHeight="1" s="16">
      <c r="A20" s="28" t="n">
        <v>45309</v>
      </c>
      <c r="B20" s="15" t="n">
        <v>8</v>
      </c>
      <c r="C20" s="15" t="n">
        <v>1</v>
      </c>
      <c r="D20" s="15" t="n">
        <v>20</v>
      </c>
      <c r="E20" s="15" t="n">
        <v>13</v>
      </c>
      <c r="F20" s="15" t="n">
        <v>14</v>
      </c>
    </row>
    <row r="21" ht="15" customHeight="1" s="16">
      <c r="A21" s="28" t="n">
        <v>45310</v>
      </c>
      <c r="B21" s="15" t="n">
        <v>16</v>
      </c>
      <c r="C21" s="15" t="n">
        <v>8</v>
      </c>
      <c r="D21" s="15" t="n">
        <v>3</v>
      </c>
      <c r="E21" s="15" t="n">
        <v>4</v>
      </c>
      <c r="F21" s="15" t="n">
        <v>3</v>
      </c>
    </row>
    <row r="22" ht="15" customHeight="1" s="16">
      <c r="A22" s="28" t="n">
        <v>45311</v>
      </c>
      <c r="B22" s="15" t="n">
        <v>7</v>
      </c>
      <c r="C22" s="15" t="n">
        <v>1</v>
      </c>
      <c r="D22" s="15" t="n">
        <v>4</v>
      </c>
      <c r="E22" s="15" t="n">
        <v>5</v>
      </c>
      <c r="F22" s="15" t="n">
        <v>21</v>
      </c>
    </row>
    <row r="23" ht="15" customHeight="1" s="16">
      <c r="A23" s="28" t="n">
        <v>45312</v>
      </c>
      <c r="B23" s="15" t="n">
        <v>12</v>
      </c>
      <c r="C23" s="15" t="n">
        <v>4</v>
      </c>
      <c r="D23" s="15" t="n">
        <v>2</v>
      </c>
      <c r="E23" s="15" t="n">
        <v>0</v>
      </c>
      <c r="F23" s="15" t="n">
        <v>3</v>
      </c>
    </row>
    <row r="24" ht="15" customHeight="1" s="16">
      <c r="A24" s="28" t="n">
        <v>45313</v>
      </c>
      <c r="B24" s="15" t="n">
        <v>10</v>
      </c>
      <c r="C24" s="15" t="n">
        <v>1</v>
      </c>
      <c r="D24" s="15" t="n">
        <v>20</v>
      </c>
      <c r="E24" s="15" t="n">
        <v>13</v>
      </c>
      <c r="F24" s="15" t="n">
        <v>3</v>
      </c>
    </row>
    <row r="25" ht="15" customHeight="1" s="16">
      <c r="A25" s="28" t="n">
        <v>45314</v>
      </c>
      <c r="B25" s="15" t="n">
        <v>17</v>
      </c>
      <c r="C25" s="15" t="n">
        <v>3</v>
      </c>
      <c r="D25" s="15" t="n">
        <v>6</v>
      </c>
      <c r="E25" s="15" t="n">
        <v>1</v>
      </c>
      <c r="F25" s="15" t="n">
        <v>2</v>
      </c>
    </row>
    <row r="26" ht="15" customHeight="1" s="16">
      <c r="A26" s="28" t="n">
        <v>45315</v>
      </c>
      <c r="B26" s="15" t="n">
        <v>13</v>
      </c>
      <c r="C26" s="15" t="n">
        <v>14</v>
      </c>
      <c r="D26" s="15" t="n">
        <v>4</v>
      </c>
      <c r="E26" s="15" t="n">
        <v>6</v>
      </c>
      <c r="F26" s="15" t="n">
        <v>2</v>
      </c>
    </row>
    <row r="27" ht="15" customHeight="1" s="16">
      <c r="A27" s="28" t="n">
        <v>45316</v>
      </c>
      <c r="B27" s="15" t="n">
        <v>11</v>
      </c>
      <c r="C27" s="15" t="n">
        <v>20</v>
      </c>
      <c r="D27" s="15" t="n">
        <v>1</v>
      </c>
      <c r="E27" s="15" t="n">
        <v>2</v>
      </c>
      <c r="F27" s="15" t="n">
        <v>10</v>
      </c>
    </row>
    <row r="28" ht="15" customHeight="1" s="16">
      <c r="A28" s="28" t="n">
        <v>45317</v>
      </c>
      <c r="B28" s="15" t="n">
        <v>16</v>
      </c>
      <c r="C28" s="15" t="n">
        <v>7</v>
      </c>
      <c r="D28" s="15" t="n">
        <v>9</v>
      </c>
      <c r="E28" s="15" t="n">
        <v>5</v>
      </c>
      <c r="F28" s="15" t="n">
        <v>2</v>
      </c>
    </row>
    <row r="29" ht="15" customHeight="1" s="16">
      <c r="A29" s="28" t="n">
        <v>45318</v>
      </c>
      <c r="B29" s="15" t="n">
        <v>7</v>
      </c>
      <c r="C29" s="15" t="n">
        <v>8</v>
      </c>
      <c r="D29" s="15" t="n">
        <v>9</v>
      </c>
      <c r="E29" s="15" t="n">
        <v>10</v>
      </c>
      <c r="F29" s="15" t="n">
        <v>3</v>
      </c>
    </row>
    <row r="30" ht="15" customHeight="1" s="16">
      <c r="A30" s="28" t="n">
        <v>45319</v>
      </c>
      <c r="B30" s="15" t="n">
        <v>0</v>
      </c>
      <c r="C30" s="15" t="n">
        <v>8</v>
      </c>
      <c r="D30" s="15" t="n">
        <v>12</v>
      </c>
      <c r="E30" s="15" t="n">
        <v>0</v>
      </c>
      <c r="F30" s="15" t="n">
        <v>10</v>
      </c>
    </row>
    <row r="31" ht="15" customHeight="1" s="16">
      <c r="A31" s="28" t="n">
        <v>45320</v>
      </c>
      <c r="B31" s="15" t="n">
        <v>12</v>
      </c>
      <c r="C31" s="15" t="n">
        <v>10</v>
      </c>
      <c r="D31" s="15" t="n">
        <v>3</v>
      </c>
      <c r="E31" s="15" t="n">
        <v>21</v>
      </c>
      <c r="F31" s="15" t="n">
        <v>14</v>
      </c>
    </row>
    <row r="32" ht="15" customHeight="1" s="16">
      <c r="A32" s="28" t="n">
        <v>45321</v>
      </c>
      <c r="B32" s="15" t="n">
        <v>2</v>
      </c>
      <c r="C32" s="15" t="n">
        <v>11</v>
      </c>
      <c r="D32" s="15" t="n">
        <v>5</v>
      </c>
      <c r="E32" s="15" t="n">
        <v>9</v>
      </c>
      <c r="F32" s="15" t="n">
        <v>2</v>
      </c>
    </row>
    <row r="33" ht="15" customHeight="1" s="16">
      <c r="A33" s="28" t="n">
        <v>45322</v>
      </c>
      <c r="B33" s="15" t="n">
        <v>7</v>
      </c>
      <c r="C33" s="15" t="n">
        <v>3</v>
      </c>
      <c r="D33" s="15" t="n">
        <v>2</v>
      </c>
      <c r="E33" s="15" t="n">
        <v>4</v>
      </c>
      <c r="F33" s="15" t="n">
        <v>14</v>
      </c>
    </row>
    <row r="34" ht="15" customHeight="1" s="16">
      <c r="A34" s="28" t="n">
        <v>45323</v>
      </c>
      <c r="B34" s="15" t="n">
        <v>1</v>
      </c>
      <c r="C34" s="15" t="n">
        <v>10</v>
      </c>
      <c r="D34" s="15" t="n">
        <v>1</v>
      </c>
      <c r="E34" s="15" t="n">
        <v>2</v>
      </c>
      <c r="F34" s="15" t="n">
        <v>2</v>
      </c>
    </row>
    <row r="35" ht="15" customHeight="1" s="16">
      <c r="A35" s="28" t="n">
        <v>45324</v>
      </c>
      <c r="B35" s="15" t="n">
        <v>10</v>
      </c>
      <c r="C35" s="15" t="n">
        <v>9</v>
      </c>
      <c r="D35" s="15" t="n">
        <v>11</v>
      </c>
      <c r="E35" s="15" t="n">
        <v>7</v>
      </c>
      <c r="F35" s="15" t="n">
        <v>6</v>
      </c>
    </row>
    <row r="36" ht="15" customHeight="1" s="16">
      <c r="A36" s="28" t="n">
        <v>45325</v>
      </c>
      <c r="B36" s="15" t="n">
        <v>27</v>
      </c>
      <c r="C36" s="15" t="n">
        <v>4</v>
      </c>
      <c r="D36" s="15" t="n">
        <v>8</v>
      </c>
      <c r="E36" s="15" t="n">
        <v>6</v>
      </c>
      <c r="F36" s="15" t="n">
        <v>7</v>
      </c>
    </row>
    <row r="37" ht="15" customHeight="1" s="16">
      <c r="A37" s="28" t="n">
        <v>45326</v>
      </c>
      <c r="B37" s="15" t="n">
        <v>13</v>
      </c>
      <c r="C37" s="15" t="n">
        <v>0</v>
      </c>
      <c r="D37" s="15" t="n">
        <v>4</v>
      </c>
      <c r="E37" s="15" t="n">
        <v>4</v>
      </c>
      <c r="F37" s="15" t="n">
        <v>2</v>
      </c>
    </row>
    <row r="38" ht="15" customHeight="1" s="16">
      <c r="A38" s="28" t="n">
        <v>45327</v>
      </c>
      <c r="B38" s="15" t="n">
        <v>10</v>
      </c>
      <c r="C38" s="15" t="n">
        <v>1</v>
      </c>
      <c r="D38" s="15" t="n">
        <v>0</v>
      </c>
      <c r="E38" s="15" t="n">
        <v>4</v>
      </c>
      <c r="F38" s="15" t="n">
        <v>2</v>
      </c>
    </row>
    <row r="39" ht="15" customHeight="1" s="16">
      <c r="A39" s="28" t="n">
        <v>45328</v>
      </c>
      <c r="B39" s="15" t="n">
        <v>3</v>
      </c>
      <c r="C39" s="15" t="n">
        <v>3</v>
      </c>
      <c r="D39" s="15" t="n">
        <v>4</v>
      </c>
      <c r="E39" s="15" t="n">
        <v>7</v>
      </c>
      <c r="F39" s="15" t="n">
        <v>5</v>
      </c>
    </row>
    <row r="40" ht="15" customHeight="1" s="16">
      <c r="A40" s="28" t="n">
        <v>45329</v>
      </c>
      <c r="B40" s="15" t="n">
        <v>17</v>
      </c>
      <c r="C40" s="15" t="n">
        <v>5</v>
      </c>
      <c r="D40" s="15" t="n">
        <v>15</v>
      </c>
      <c r="E40" s="15" t="n">
        <v>18</v>
      </c>
      <c r="F40" s="15" t="n">
        <v>5</v>
      </c>
    </row>
    <row r="41" ht="15" customHeight="1" s="16">
      <c r="A41" s="28" t="n">
        <v>45330</v>
      </c>
      <c r="B41" s="15" t="n">
        <v>2</v>
      </c>
      <c r="C41" s="15" t="n">
        <v>0</v>
      </c>
      <c r="D41" s="15" t="n">
        <v>2</v>
      </c>
      <c r="E41" s="15" t="n">
        <v>5</v>
      </c>
      <c r="F41" s="15" t="n">
        <v>1</v>
      </c>
    </row>
    <row r="42" ht="15" customHeight="1" s="16">
      <c r="A42" s="28" t="n">
        <v>45331</v>
      </c>
      <c r="B42" s="15" t="n">
        <v>8</v>
      </c>
      <c r="C42" s="15" t="n">
        <v>7</v>
      </c>
      <c r="D42" s="15" t="n">
        <v>3</v>
      </c>
      <c r="E42" s="15" t="n">
        <v>30</v>
      </c>
      <c r="F42" s="15" t="n">
        <v>13</v>
      </c>
    </row>
    <row r="43" ht="15" customHeight="1" s="16">
      <c r="A43" s="28" t="n">
        <v>45332</v>
      </c>
      <c r="B43" s="15" t="n">
        <v>6</v>
      </c>
      <c r="C43" s="15" t="n">
        <v>2</v>
      </c>
      <c r="D43" s="15" t="n">
        <v>16</v>
      </c>
      <c r="E43" s="15" t="n">
        <v>13</v>
      </c>
      <c r="F43" s="15" t="n">
        <v>4</v>
      </c>
    </row>
    <row r="44" ht="15" customHeight="1" s="16">
      <c r="A44" s="28" t="n">
        <v>45333</v>
      </c>
      <c r="B44" s="15" t="n">
        <v>8</v>
      </c>
      <c r="C44" s="15" t="n">
        <v>2</v>
      </c>
      <c r="D44" s="15" t="n">
        <v>11</v>
      </c>
      <c r="E44" s="15" t="n">
        <v>0</v>
      </c>
      <c r="F44" s="15" t="n">
        <v>5</v>
      </c>
    </row>
    <row r="45" ht="15" customHeight="1" s="16">
      <c r="A45" s="28" t="n">
        <v>45334</v>
      </c>
      <c r="B45" s="15" t="n">
        <v>16</v>
      </c>
      <c r="C45" s="15" t="n">
        <v>6</v>
      </c>
      <c r="D45" s="15" t="n">
        <v>5</v>
      </c>
      <c r="E45" s="15" t="n">
        <v>6</v>
      </c>
      <c r="F45" s="15" t="n">
        <v>7</v>
      </c>
    </row>
    <row r="46" ht="15" customHeight="1" s="16">
      <c r="A46" s="28" t="n">
        <v>45335</v>
      </c>
      <c r="B46" s="15" t="n">
        <v>9</v>
      </c>
      <c r="C46" s="15" t="n">
        <v>12</v>
      </c>
      <c r="D46" s="15" t="n">
        <v>2</v>
      </c>
      <c r="E46" s="15" t="n">
        <v>7</v>
      </c>
      <c r="F46" s="15" t="n">
        <v>9</v>
      </c>
    </row>
    <row r="47" ht="15" customHeight="1" s="16">
      <c r="A47" s="28" t="n">
        <v>45336</v>
      </c>
      <c r="B47" s="15" t="n">
        <v>3</v>
      </c>
      <c r="C47" s="15" t="n">
        <v>21</v>
      </c>
      <c r="D47" s="15" t="n">
        <v>31</v>
      </c>
      <c r="E47" s="15" t="n">
        <v>8</v>
      </c>
      <c r="F47" s="15" t="n">
        <v>9</v>
      </c>
    </row>
    <row r="48" ht="15" customHeight="1" s="16">
      <c r="A48" s="28" t="n">
        <v>45337</v>
      </c>
      <c r="B48" s="15" t="n">
        <v>25</v>
      </c>
      <c r="C48" s="15" t="n">
        <v>6</v>
      </c>
      <c r="D48" s="15" t="n">
        <v>3</v>
      </c>
      <c r="E48" s="15" t="n">
        <v>12</v>
      </c>
      <c r="F48" s="15" t="n">
        <v>4</v>
      </c>
    </row>
    <row r="49" ht="15" customHeight="1" s="16">
      <c r="A49" s="28" t="n">
        <v>45338</v>
      </c>
      <c r="B49" s="15" t="n">
        <v>10</v>
      </c>
      <c r="C49" s="15" t="n">
        <v>9</v>
      </c>
      <c r="D49" s="15" t="n">
        <v>2</v>
      </c>
      <c r="E49" s="15" t="n">
        <v>5</v>
      </c>
      <c r="F49" s="15" t="n">
        <v>5</v>
      </c>
    </row>
    <row r="50" ht="15" customHeight="1" s="16">
      <c r="A50" s="28" t="n">
        <v>45339</v>
      </c>
      <c r="B50" s="15" t="n">
        <v>21</v>
      </c>
      <c r="C50" s="15" t="n">
        <v>4</v>
      </c>
      <c r="D50" s="15" t="n">
        <v>3</v>
      </c>
      <c r="E50" s="15" t="n">
        <v>5</v>
      </c>
      <c r="F50" s="15" t="n">
        <v>0</v>
      </c>
    </row>
    <row r="51" ht="15" customHeight="1" s="16">
      <c r="A51" s="28" t="n">
        <v>45340</v>
      </c>
      <c r="B51" s="15" t="n">
        <v>10</v>
      </c>
      <c r="C51" s="15" t="n">
        <v>2</v>
      </c>
      <c r="D51" s="15" t="n">
        <v>11</v>
      </c>
      <c r="E51" s="15" t="n">
        <v>8</v>
      </c>
      <c r="F51" s="15" t="n">
        <v>9</v>
      </c>
    </row>
    <row r="52" ht="15" customHeight="1" s="16">
      <c r="A52" s="28" t="n">
        <v>45341</v>
      </c>
      <c r="B52" s="15" t="n">
        <v>11</v>
      </c>
      <c r="C52" s="15" t="n">
        <v>10</v>
      </c>
      <c r="D52" s="15" t="n">
        <v>6</v>
      </c>
      <c r="E52" s="15" t="n">
        <v>3</v>
      </c>
      <c r="F52" s="15" t="n">
        <v>4</v>
      </c>
    </row>
    <row r="53" ht="15" customHeight="1" s="16">
      <c r="A53" s="28" t="n">
        <v>45342</v>
      </c>
      <c r="B53" s="15" t="n">
        <v>2</v>
      </c>
      <c r="C53" s="15" t="n">
        <v>5</v>
      </c>
      <c r="D53" s="15" t="n">
        <v>4</v>
      </c>
      <c r="E53" s="15" t="n">
        <v>11</v>
      </c>
      <c r="F53" s="15" t="n">
        <v>3</v>
      </c>
    </row>
    <row r="54" ht="15" customHeight="1" s="16">
      <c r="A54" s="28" t="n">
        <v>45343</v>
      </c>
      <c r="B54" s="15" t="n">
        <v>2</v>
      </c>
      <c r="C54" s="15" t="n">
        <v>6</v>
      </c>
      <c r="D54" s="15" t="n">
        <v>3</v>
      </c>
      <c r="E54" s="15" t="n">
        <v>5</v>
      </c>
      <c r="F54" s="15" t="n">
        <v>28</v>
      </c>
    </row>
    <row r="55" ht="15" customHeight="1" s="16">
      <c r="A55" s="28" t="n">
        <v>45344</v>
      </c>
      <c r="B55" s="15" t="n">
        <v>6</v>
      </c>
      <c r="C55" s="15" t="n">
        <v>1</v>
      </c>
      <c r="D55" s="15" t="n">
        <v>7</v>
      </c>
      <c r="E55" s="15" t="n">
        <v>2</v>
      </c>
      <c r="F55" s="15" t="n">
        <v>3</v>
      </c>
    </row>
    <row r="56" ht="15" customHeight="1" s="16">
      <c r="A56" s="28" t="n">
        <v>45345</v>
      </c>
      <c r="B56" s="15" t="n">
        <v>1</v>
      </c>
      <c r="C56" s="15" t="n">
        <v>3</v>
      </c>
      <c r="D56" s="15" t="n">
        <v>1</v>
      </c>
      <c r="E56" s="15" t="n">
        <v>11</v>
      </c>
      <c r="F56" s="15" t="n">
        <v>8</v>
      </c>
    </row>
    <row r="57" ht="15" customHeight="1" s="16">
      <c r="A57" s="28" t="n">
        <v>45346</v>
      </c>
      <c r="B57" s="15" t="n">
        <v>12</v>
      </c>
      <c r="C57" s="15" t="n">
        <v>6</v>
      </c>
      <c r="D57" s="15" t="n">
        <v>2</v>
      </c>
      <c r="E57" s="15" t="n">
        <v>13</v>
      </c>
      <c r="F57" s="15" t="n">
        <v>7</v>
      </c>
    </row>
    <row r="58" ht="15" customHeight="1" s="16">
      <c r="A58" s="28" t="n">
        <v>45347</v>
      </c>
      <c r="B58" s="15" t="n">
        <v>5</v>
      </c>
      <c r="C58" s="15" t="n">
        <v>3</v>
      </c>
      <c r="D58" s="15" t="n">
        <v>0</v>
      </c>
      <c r="E58" s="15" t="n">
        <v>3</v>
      </c>
      <c r="F58" s="15" t="n">
        <v>4</v>
      </c>
    </row>
    <row r="59" ht="15" customHeight="1" s="16">
      <c r="A59" s="28" t="n">
        <v>45348</v>
      </c>
      <c r="B59" s="15" t="n">
        <v>20</v>
      </c>
      <c r="C59" s="15" t="n">
        <v>9</v>
      </c>
      <c r="D59" s="15" t="n">
        <v>2</v>
      </c>
      <c r="E59" s="15" t="n">
        <v>11</v>
      </c>
      <c r="F59" s="15" t="n">
        <v>2</v>
      </c>
    </row>
    <row r="60" ht="15" customHeight="1" s="16">
      <c r="A60" s="28" t="n">
        <v>45349</v>
      </c>
      <c r="B60" s="15" t="n">
        <v>33</v>
      </c>
      <c r="C60" s="15" t="n">
        <v>3</v>
      </c>
      <c r="D60" s="15" t="n">
        <v>4</v>
      </c>
      <c r="E60" s="15" t="n">
        <v>16</v>
      </c>
      <c r="F60" s="15" t="n">
        <v>7</v>
      </c>
    </row>
    <row r="61" ht="15" customHeight="1" s="16">
      <c r="A61" s="28" t="n">
        <v>45350</v>
      </c>
      <c r="B61" s="15" t="n">
        <v>6</v>
      </c>
      <c r="C61" s="15" t="n">
        <v>11</v>
      </c>
      <c r="D61" s="15" t="n">
        <v>1</v>
      </c>
      <c r="E61" s="15" t="n">
        <v>11</v>
      </c>
      <c r="F61" s="15" t="n">
        <v>7</v>
      </c>
    </row>
    <row r="62" ht="15" customHeight="1" s="16">
      <c r="A62" s="28" t="n">
        <v>45351</v>
      </c>
      <c r="B62" s="15" t="n">
        <v>4</v>
      </c>
      <c r="C62" s="15" t="n">
        <v>4</v>
      </c>
      <c r="D62" s="15" t="n">
        <v>9</v>
      </c>
      <c r="E62" s="15" t="n">
        <v>13</v>
      </c>
      <c r="F62" s="15" t="n">
        <v>12</v>
      </c>
    </row>
    <row r="63" ht="15" customHeight="1" s="16">
      <c r="A63" s="28" t="n">
        <v>45352</v>
      </c>
      <c r="B63" s="15" t="n">
        <v>0</v>
      </c>
      <c r="C63" s="15" t="n">
        <v>0</v>
      </c>
      <c r="D63" s="15" t="n">
        <v>18</v>
      </c>
      <c r="E63" s="15" t="n">
        <v>1</v>
      </c>
      <c r="F63" s="15" t="n">
        <v>23</v>
      </c>
    </row>
    <row r="64" ht="15" customHeight="1" s="16">
      <c r="A64" s="28" t="n">
        <v>45353</v>
      </c>
      <c r="B64" s="15" t="n">
        <v>6</v>
      </c>
      <c r="C64" s="15" t="n">
        <v>14</v>
      </c>
      <c r="D64" s="15" t="n">
        <v>2</v>
      </c>
      <c r="E64" s="15" t="n">
        <v>3</v>
      </c>
      <c r="F64" s="15" t="n">
        <v>3</v>
      </c>
    </row>
    <row r="65" ht="15" customHeight="1" s="16">
      <c r="A65" s="28" t="n">
        <v>45354</v>
      </c>
      <c r="B65" s="15" t="n">
        <v>1</v>
      </c>
      <c r="C65" s="15" t="n">
        <v>3</v>
      </c>
      <c r="D65" s="15" t="n">
        <v>1</v>
      </c>
      <c r="E65" s="15" t="n">
        <v>3</v>
      </c>
      <c r="F65" s="15" t="n">
        <v>8</v>
      </c>
    </row>
    <row r="66" ht="15" customHeight="1" s="16">
      <c r="A66" s="28" t="n">
        <v>45355</v>
      </c>
      <c r="B66" s="15" t="n">
        <v>5</v>
      </c>
      <c r="C66" s="15" t="n">
        <v>9</v>
      </c>
      <c r="D66" s="15" t="n">
        <v>3</v>
      </c>
      <c r="E66" s="15" t="n">
        <v>7</v>
      </c>
      <c r="F66" s="15" t="n">
        <v>31</v>
      </c>
    </row>
    <row r="67" ht="15" customHeight="1" s="16">
      <c r="A67" s="28" t="n">
        <v>45356</v>
      </c>
      <c r="B67" s="15" t="n">
        <v>8</v>
      </c>
      <c r="C67" s="15" t="n">
        <v>3</v>
      </c>
      <c r="D67" s="15" t="n">
        <v>9</v>
      </c>
      <c r="E67" s="15" t="n">
        <v>5</v>
      </c>
      <c r="F67" s="15" t="n">
        <v>16</v>
      </c>
    </row>
    <row r="68" ht="15" customHeight="1" s="16">
      <c r="A68" s="28" t="n">
        <v>45357</v>
      </c>
      <c r="B68" s="15" t="n">
        <v>15</v>
      </c>
      <c r="C68" s="15" t="n">
        <v>7</v>
      </c>
      <c r="D68" s="15" t="n">
        <v>3</v>
      </c>
      <c r="E68" s="15" t="n">
        <v>12</v>
      </c>
      <c r="F68" s="15" t="n">
        <v>4</v>
      </c>
    </row>
    <row r="69" ht="15" customHeight="1" s="16">
      <c r="A69" s="28" t="n">
        <v>45358</v>
      </c>
      <c r="B69" s="15" t="n">
        <v>4</v>
      </c>
      <c r="C69" s="15" t="n">
        <v>22</v>
      </c>
      <c r="D69" s="15" t="n">
        <v>2</v>
      </c>
      <c r="E69" s="15" t="n">
        <v>8</v>
      </c>
      <c r="F69" s="15" t="n">
        <v>9</v>
      </c>
    </row>
    <row r="70" ht="15" customHeight="1" s="16">
      <c r="A70" s="28" t="n">
        <v>45359</v>
      </c>
      <c r="B70" s="15" t="n">
        <v>7</v>
      </c>
      <c r="C70" s="15" t="n">
        <v>6</v>
      </c>
      <c r="D70" s="15" t="n">
        <v>4</v>
      </c>
      <c r="E70" s="15" t="n">
        <v>3</v>
      </c>
      <c r="F70" s="15" t="n">
        <v>3</v>
      </c>
    </row>
    <row r="71" ht="15" customHeight="1" s="16">
      <c r="A71" s="28" t="n">
        <v>45360</v>
      </c>
      <c r="B71" s="15" t="n">
        <v>14</v>
      </c>
      <c r="C71" s="15" t="n">
        <v>6</v>
      </c>
      <c r="D71" s="15" t="n">
        <v>15</v>
      </c>
      <c r="E71" s="15" t="n">
        <v>11</v>
      </c>
      <c r="F71" s="15" t="n">
        <v>3</v>
      </c>
    </row>
    <row r="72" ht="15" customHeight="1" s="16">
      <c r="A72" s="28" t="n">
        <v>45361</v>
      </c>
      <c r="B72" s="15" t="n">
        <v>2</v>
      </c>
      <c r="C72" s="15" t="n">
        <v>1</v>
      </c>
      <c r="D72" s="15" t="n">
        <v>7</v>
      </c>
      <c r="E72" s="15" t="n">
        <v>5</v>
      </c>
      <c r="F72" s="15" t="n">
        <v>5</v>
      </c>
    </row>
    <row r="73" ht="15" customHeight="1" s="16">
      <c r="A73" s="28" t="n">
        <v>45362</v>
      </c>
      <c r="B73" s="15" t="n">
        <v>6</v>
      </c>
      <c r="C73" s="15" t="n">
        <v>3</v>
      </c>
      <c r="D73" s="15" t="n">
        <v>0</v>
      </c>
      <c r="E73" s="15" t="n">
        <v>1</v>
      </c>
      <c r="F73" s="15" t="n">
        <v>10</v>
      </c>
    </row>
    <row r="74" ht="15" customHeight="1" s="16">
      <c r="A74" s="28" t="n">
        <v>45363</v>
      </c>
      <c r="B74" s="15" t="n">
        <v>5</v>
      </c>
      <c r="C74" s="15" t="n">
        <v>1</v>
      </c>
      <c r="D74" s="15" t="n">
        <v>3</v>
      </c>
      <c r="E74" s="15" t="n">
        <v>4</v>
      </c>
      <c r="F74" s="15" t="n">
        <v>19</v>
      </c>
    </row>
    <row r="75" ht="15" customHeight="1" s="16">
      <c r="A75" s="28" t="n">
        <v>45364</v>
      </c>
      <c r="B75" s="15" t="n">
        <v>1</v>
      </c>
      <c r="C75" s="15" t="n">
        <v>4</v>
      </c>
      <c r="D75" s="15" t="n">
        <v>4</v>
      </c>
      <c r="E75" s="15" t="n">
        <v>11</v>
      </c>
      <c r="F75" s="15" t="n">
        <v>9</v>
      </c>
    </row>
    <row r="76" ht="15" customHeight="1" s="16">
      <c r="A76" s="28" t="n">
        <v>45365</v>
      </c>
      <c r="B76" s="15" t="n">
        <v>1</v>
      </c>
      <c r="C76" s="15" t="n">
        <v>9</v>
      </c>
      <c r="D76" s="15" t="n">
        <v>3</v>
      </c>
      <c r="E76" s="15" t="n">
        <v>9</v>
      </c>
      <c r="F76" s="15" t="n">
        <v>11</v>
      </c>
    </row>
    <row r="77" ht="15" customHeight="1" s="16">
      <c r="A77" s="28" t="n">
        <v>45366</v>
      </c>
      <c r="B77" s="15" t="n">
        <v>14</v>
      </c>
      <c r="C77" s="15" t="n">
        <v>16</v>
      </c>
      <c r="D77" s="15" t="n">
        <v>8</v>
      </c>
      <c r="E77" s="15" t="n">
        <v>3</v>
      </c>
      <c r="F77" s="15" t="n">
        <v>5</v>
      </c>
    </row>
    <row r="78" ht="15" customHeight="1" s="16">
      <c r="A78" s="28" t="n">
        <v>45367</v>
      </c>
      <c r="B78" s="15" t="n">
        <v>9</v>
      </c>
      <c r="C78" s="15" t="n">
        <v>16</v>
      </c>
      <c r="D78" s="15" t="n">
        <v>5</v>
      </c>
      <c r="E78" s="15" t="n">
        <v>6</v>
      </c>
      <c r="F78" s="15" t="n">
        <v>18</v>
      </c>
    </row>
    <row r="79" ht="15" customHeight="1" s="16">
      <c r="A79" s="28" t="n">
        <v>45368</v>
      </c>
      <c r="B79" s="15" t="n">
        <v>6</v>
      </c>
      <c r="C79" s="15" t="n">
        <v>0</v>
      </c>
      <c r="D79" s="15" t="n">
        <v>1</v>
      </c>
      <c r="E79" s="15" t="n">
        <v>9</v>
      </c>
      <c r="F79" s="15" t="n">
        <v>2</v>
      </c>
    </row>
    <row r="80" ht="15" customHeight="1" s="16">
      <c r="A80" s="28" t="n">
        <v>45369</v>
      </c>
      <c r="B80" s="15" t="n">
        <v>10</v>
      </c>
      <c r="C80" s="15" t="n">
        <v>15</v>
      </c>
      <c r="D80" s="15" t="n">
        <v>6</v>
      </c>
      <c r="E80" s="15" t="n">
        <v>6</v>
      </c>
      <c r="F80" s="15" t="n">
        <v>16</v>
      </c>
    </row>
    <row r="81" ht="15" customHeight="1" s="16">
      <c r="A81" s="28" t="n">
        <v>45370</v>
      </c>
      <c r="B81" s="15" t="n">
        <v>10</v>
      </c>
      <c r="C81" s="15" t="n">
        <v>7</v>
      </c>
      <c r="D81" s="15" t="n">
        <v>5</v>
      </c>
      <c r="E81" s="15" t="n">
        <v>5</v>
      </c>
      <c r="F81" s="15" t="n">
        <v>12</v>
      </c>
    </row>
    <row r="82" ht="15" customHeight="1" s="16">
      <c r="A82" s="28" t="n">
        <v>45371</v>
      </c>
      <c r="B82" s="15" t="n">
        <v>7</v>
      </c>
      <c r="C82" s="15" t="n">
        <v>0</v>
      </c>
      <c r="D82" s="15" t="n">
        <v>6</v>
      </c>
      <c r="E82" s="15" t="n">
        <v>3</v>
      </c>
      <c r="F82" s="15" t="n">
        <v>8</v>
      </c>
    </row>
    <row r="83" ht="15" customHeight="1" s="16">
      <c r="A83" s="28" t="n">
        <v>45372</v>
      </c>
      <c r="B83" s="15" t="n">
        <v>9</v>
      </c>
      <c r="C83" s="15" t="n">
        <v>0</v>
      </c>
      <c r="D83" s="15" t="n">
        <v>15</v>
      </c>
      <c r="E83" s="15" t="n">
        <v>1</v>
      </c>
      <c r="F83" s="15" t="n">
        <v>11</v>
      </c>
    </row>
    <row r="84" ht="15" customHeight="1" s="16">
      <c r="A84" s="28" t="n">
        <v>45373</v>
      </c>
      <c r="B84" s="15" t="n">
        <v>4</v>
      </c>
      <c r="C84" s="15" t="n">
        <v>11</v>
      </c>
      <c r="D84" s="15" t="n">
        <v>6</v>
      </c>
      <c r="E84" s="15" t="n">
        <v>8</v>
      </c>
      <c r="F84" s="15" t="n">
        <v>5</v>
      </c>
    </row>
    <row r="85" ht="15" customHeight="1" s="16">
      <c r="A85" s="28" t="n">
        <v>45374</v>
      </c>
      <c r="B85" s="15" t="n">
        <v>9</v>
      </c>
      <c r="C85" s="15" t="n">
        <v>3</v>
      </c>
      <c r="D85" s="15" t="n">
        <v>23</v>
      </c>
      <c r="E85" s="15" t="n">
        <v>18</v>
      </c>
      <c r="F85" s="15" t="n">
        <v>9</v>
      </c>
    </row>
    <row r="86" ht="15" customHeight="1" s="16">
      <c r="A86" s="28" t="n">
        <v>45375</v>
      </c>
      <c r="B86" s="15" t="n">
        <v>6</v>
      </c>
      <c r="C86" s="15" t="n">
        <v>9</v>
      </c>
      <c r="D86" s="15" t="n">
        <v>4</v>
      </c>
      <c r="E86" s="15" t="n">
        <v>22</v>
      </c>
      <c r="F86" s="15" t="n">
        <v>11</v>
      </c>
    </row>
    <row r="87" ht="15" customHeight="1" s="16">
      <c r="A87" s="28" t="n">
        <v>45376</v>
      </c>
      <c r="B87" s="15" t="n">
        <v>26</v>
      </c>
      <c r="C87" s="15" t="n">
        <v>15</v>
      </c>
      <c r="D87" s="15" t="n">
        <v>7</v>
      </c>
      <c r="E87" s="15" t="n">
        <v>6</v>
      </c>
      <c r="F87" s="15" t="n">
        <v>0</v>
      </c>
    </row>
    <row r="88" ht="15" customHeight="1" s="16">
      <c r="A88" s="28" t="n">
        <v>45377</v>
      </c>
      <c r="B88" s="15" t="n">
        <v>13</v>
      </c>
      <c r="C88" s="15" t="n">
        <v>14</v>
      </c>
      <c r="D88" s="15" t="n">
        <v>15</v>
      </c>
      <c r="E88" s="15" t="n">
        <v>3</v>
      </c>
      <c r="F88" s="15" t="n">
        <v>6</v>
      </c>
    </row>
    <row r="89" ht="15" customHeight="1" s="16">
      <c r="A89" s="28" t="n">
        <v>45378</v>
      </c>
      <c r="B89" s="15" t="n">
        <v>7</v>
      </c>
      <c r="C89" s="15" t="n">
        <v>5</v>
      </c>
      <c r="D89" s="15" t="n">
        <v>6</v>
      </c>
      <c r="E89" s="15" t="n">
        <v>3</v>
      </c>
      <c r="F89" s="15" t="n">
        <v>3</v>
      </c>
    </row>
    <row r="90" ht="15" customHeight="1" s="16">
      <c r="A90" s="28" t="n">
        <v>45379</v>
      </c>
      <c r="B90" s="15" t="n">
        <v>3</v>
      </c>
      <c r="C90" s="15" t="n">
        <v>9</v>
      </c>
      <c r="D90" s="15" t="n">
        <v>1</v>
      </c>
      <c r="E90" s="15" t="n">
        <v>3</v>
      </c>
      <c r="F90" s="15" t="n">
        <v>4</v>
      </c>
    </row>
    <row r="91" ht="15" customHeight="1" s="16">
      <c r="A91" s="28" t="n">
        <v>45380</v>
      </c>
      <c r="B91" s="15" t="n">
        <v>5</v>
      </c>
      <c r="C91" s="15" t="n">
        <v>5</v>
      </c>
      <c r="D91" s="15" t="n">
        <v>6</v>
      </c>
      <c r="E91" s="15" t="n">
        <v>0</v>
      </c>
      <c r="F91" s="15" t="n">
        <v>5</v>
      </c>
    </row>
    <row r="92" ht="15" customHeight="1" s="16">
      <c r="A92" s="28" t="n">
        <v>45381</v>
      </c>
      <c r="B92" s="15" t="n">
        <v>13</v>
      </c>
      <c r="C92" s="15" t="n">
        <v>1</v>
      </c>
      <c r="D92" s="15" t="n">
        <v>5</v>
      </c>
      <c r="E92" s="15" t="n">
        <v>6</v>
      </c>
      <c r="F92" s="15" t="n">
        <v>26</v>
      </c>
    </row>
    <row r="93" ht="15" customHeight="1" s="16">
      <c r="A93" s="28" t="n">
        <v>45382</v>
      </c>
      <c r="B93" s="15" t="n">
        <v>3</v>
      </c>
      <c r="C93" s="15" t="n">
        <v>1</v>
      </c>
      <c r="D93" s="15" t="n">
        <v>0</v>
      </c>
      <c r="E93" s="15" t="n">
        <v>2</v>
      </c>
      <c r="F93" s="15" t="n">
        <v>4</v>
      </c>
    </row>
    <row r="94" ht="15" customHeight="1" s="16">
      <c r="A94" s="28" t="n">
        <v>45383</v>
      </c>
      <c r="B94" s="15" t="n">
        <v>3</v>
      </c>
      <c r="C94" s="15" t="n">
        <v>7</v>
      </c>
      <c r="D94" s="15" t="n">
        <v>0</v>
      </c>
      <c r="E94" s="15" t="n">
        <v>10</v>
      </c>
      <c r="F94" s="15" t="n">
        <v>11</v>
      </c>
    </row>
    <row r="95" ht="15" customHeight="1" s="16">
      <c r="A95" s="28" t="n">
        <v>45384</v>
      </c>
      <c r="B95" s="15" t="n">
        <v>11</v>
      </c>
      <c r="C95" s="15" t="n">
        <v>14</v>
      </c>
      <c r="D95" s="15" t="n">
        <v>3</v>
      </c>
      <c r="E95" s="15" t="n">
        <v>9</v>
      </c>
      <c r="F95" s="15" t="n">
        <v>7</v>
      </c>
    </row>
    <row r="96" ht="15" customHeight="1" s="16">
      <c r="A96" s="28" t="n">
        <v>45385</v>
      </c>
      <c r="B96" s="15" t="n">
        <v>3</v>
      </c>
      <c r="C96" s="15" t="n">
        <v>0</v>
      </c>
      <c r="D96" s="15" t="n">
        <v>7</v>
      </c>
      <c r="E96" s="15" t="n">
        <v>7</v>
      </c>
      <c r="F96" s="15" t="n">
        <v>1</v>
      </c>
    </row>
    <row r="97" ht="15" customHeight="1" s="16">
      <c r="A97" s="28" t="n">
        <v>45386</v>
      </c>
      <c r="B97" s="15" t="n">
        <v>0</v>
      </c>
      <c r="C97" s="15" t="n">
        <v>10</v>
      </c>
      <c r="D97" s="15" t="n">
        <v>10</v>
      </c>
      <c r="E97" s="15" t="n">
        <v>10</v>
      </c>
      <c r="F97" s="15" t="n">
        <v>7</v>
      </c>
    </row>
    <row r="98" ht="15" customHeight="1" s="16">
      <c r="A98" s="28" t="n">
        <v>45387</v>
      </c>
      <c r="B98" s="15" t="n">
        <v>1</v>
      </c>
      <c r="C98" s="15" t="n">
        <v>4</v>
      </c>
      <c r="D98" s="15" t="n">
        <v>5</v>
      </c>
      <c r="E98" s="15" t="n">
        <v>2</v>
      </c>
      <c r="F98" s="15" t="n">
        <v>12</v>
      </c>
    </row>
    <row r="99" ht="15" customHeight="1" s="16">
      <c r="A99" s="28" t="n">
        <v>45388</v>
      </c>
      <c r="B99" s="15" t="n">
        <v>12</v>
      </c>
      <c r="C99" s="15" t="n">
        <v>2</v>
      </c>
      <c r="D99" s="15" t="n">
        <v>4</v>
      </c>
      <c r="E99" s="15" t="n">
        <v>9</v>
      </c>
      <c r="F99" s="15" t="n">
        <v>3</v>
      </c>
    </row>
    <row r="100" ht="15" customHeight="1" s="16">
      <c r="A100" s="28" t="n">
        <v>45389</v>
      </c>
      <c r="B100" s="15" t="n">
        <v>0</v>
      </c>
      <c r="C100" s="15" t="n">
        <v>2</v>
      </c>
      <c r="D100" s="15" t="n">
        <v>6</v>
      </c>
      <c r="E100" s="15" t="n">
        <v>1</v>
      </c>
      <c r="F100" s="15" t="n">
        <v>17</v>
      </c>
    </row>
    <row r="101" ht="15" customHeight="1" s="16">
      <c r="A101" s="28" t="n">
        <v>45390</v>
      </c>
      <c r="B101" s="15" t="n">
        <v>0</v>
      </c>
      <c r="C101" s="15" t="n">
        <v>3</v>
      </c>
      <c r="D101" s="15" t="n">
        <v>19</v>
      </c>
      <c r="E101" s="15" t="n">
        <v>4</v>
      </c>
      <c r="F101" s="15" t="n">
        <v>0</v>
      </c>
    </row>
    <row r="102" ht="15" customHeight="1" s="16">
      <c r="A102" s="28" t="n">
        <v>45391</v>
      </c>
      <c r="B102" s="15" t="n">
        <v>0</v>
      </c>
      <c r="C102" s="15" t="n">
        <v>9</v>
      </c>
      <c r="D102" s="15" t="n">
        <v>2</v>
      </c>
      <c r="E102" s="15" t="n">
        <v>10</v>
      </c>
      <c r="F102" s="15" t="n">
        <v>8</v>
      </c>
    </row>
    <row r="103" ht="15" customHeight="1" s="16">
      <c r="A103" s="28" t="n">
        <v>45392</v>
      </c>
      <c r="B103" s="15" t="n">
        <v>0</v>
      </c>
      <c r="C103" s="15" t="n">
        <v>2</v>
      </c>
      <c r="D103" s="15" t="n">
        <v>0</v>
      </c>
      <c r="E103" s="15" t="n">
        <v>10</v>
      </c>
      <c r="F103" s="15" t="n">
        <v>6</v>
      </c>
    </row>
    <row r="104" ht="15" customHeight="1" s="16">
      <c r="A104" s="28" t="n">
        <v>45393</v>
      </c>
      <c r="B104" s="15" t="n">
        <v>6</v>
      </c>
      <c r="C104" s="15" t="n">
        <v>9</v>
      </c>
      <c r="D104" s="15" t="n">
        <v>14</v>
      </c>
      <c r="E104" s="15" t="n">
        <v>0</v>
      </c>
      <c r="F104" s="15" t="n">
        <v>9</v>
      </c>
    </row>
    <row r="105" ht="15" customHeight="1" s="16">
      <c r="A105" s="28" t="n">
        <v>45394</v>
      </c>
      <c r="B105" s="15" t="n">
        <v>6</v>
      </c>
      <c r="C105" s="15" t="n">
        <v>2</v>
      </c>
      <c r="D105" s="15" t="n">
        <v>4</v>
      </c>
      <c r="E105" s="15" t="n">
        <v>8</v>
      </c>
      <c r="F105" s="15" t="n">
        <v>1</v>
      </c>
    </row>
    <row r="106" ht="15" customHeight="1" s="16">
      <c r="A106" s="28" t="n">
        <v>45395</v>
      </c>
      <c r="B106" s="15" t="n">
        <v>8</v>
      </c>
      <c r="C106" s="15" t="n">
        <v>2</v>
      </c>
      <c r="D106" s="15" t="n">
        <v>2</v>
      </c>
      <c r="E106" s="15" t="n">
        <v>0</v>
      </c>
      <c r="F106" s="15" t="n">
        <v>14</v>
      </c>
    </row>
    <row r="107" ht="15" customHeight="1" s="16">
      <c r="A107" s="28" t="n">
        <v>45396</v>
      </c>
      <c r="B107" s="15" t="n">
        <v>0</v>
      </c>
      <c r="C107" s="15" t="n">
        <v>5</v>
      </c>
      <c r="D107" s="15" t="n">
        <v>1</v>
      </c>
      <c r="E107" s="15" t="n">
        <v>5</v>
      </c>
      <c r="F107" s="15" t="n">
        <v>6</v>
      </c>
    </row>
    <row r="108" ht="15" customHeight="1" s="16">
      <c r="A108" s="28" t="n">
        <v>45397</v>
      </c>
      <c r="B108" s="15" t="n">
        <v>5</v>
      </c>
      <c r="C108" s="15" t="n">
        <v>5</v>
      </c>
      <c r="D108" s="15" t="n">
        <v>8</v>
      </c>
      <c r="E108" s="15" t="n">
        <v>0</v>
      </c>
      <c r="F108" s="15" t="n">
        <v>11</v>
      </c>
    </row>
    <row r="109" ht="15" customHeight="1" s="16">
      <c r="A109" s="28" t="n">
        <v>45398</v>
      </c>
      <c r="B109" s="15" t="n">
        <v>5</v>
      </c>
      <c r="C109" s="15" t="n">
        <v>5</v>
      </c>
      <c r="D109" s="15" t="n">
        <v>13</v>
      </c>
      <c r="E109" s="15" t="n">
        <v>3</v>
      </c>
      <c r="F109" s="15" t="n">
        <v>7</v>
      </c>
    </row>
    <row r="110" ht="15" customHeight="1" s="16">
      <c r="A110" s="28" t="n">
        <v>45399</v>
      </c>
      <c r="B110" s="15" t="n">
        <v>0</v>
      </c>
      <c r="C110" s="15" t="n">
        <v>10</v>
      </c>
      <c r="D110" s="15" t="n">
        <v>4</v>
      </c>
      <c r="E110" s="15" t="n">
        <v>0</v>
      </c>
      <c r="F110" s="15" t="n">
        <v>3</v>
      </c>
    </row>
    <row r="111" ht="15" customHeight="1" s="16">
      <c r="A111" s="28" t="n">
        <v>45400</v>
      </c>
      <c r="B111" s="15" t="n">
        <v>5</v>
      </c>
      <c r="C111" s="15" t="n">
        <v>0</v>
      </c>
      <c r="D111" s="15" t="n">
        <v>3</v>
      </c>
      <c r="E111" s="15" t="n">
        <v>2</v>
      </c>
      <c r="F111" s="15" t="n">
        <v>1</v>
      </c>
    </row>
    <row r="112" ht="15" customHeight="1" s="16">
      <c r="A112" s="28" t="n">
        <v>45401</v>
      </c>
      <c r="B112" s="15" t="n">
        <v>16</v>
      </c>
      <c r="C112" s="15" t="n">
        <v>8</v>
      </c>
      <c r="D112" s="15" t="n">
        <v>7</v>
      </c>
      <c r="E112" s="15" t="n">
        <v>0</v>
      </c>
      <c r="F112" s="15" t="n">
        <v>5</v>
      </c>
    </row>
    <row r="113" ht="15" customHeight="1" s="16">
      <c r="A113" s="28" t="n">
        <v>45402</v>
      </c>
      <c r="B113" s="15" t="n">
        <v>0</v>
      </c>
      <c r="C113" s="15" t="n">
        <v>15</v>
      </c>
      <c r="D113" s="15" t="n">
        <v>1</v>
      </c>
      <c r="E113" s="15" t="n">
        <v>1</v>
      </c>
      <c r="F113" s="15" t="n">
        <v>8</v>
      </c>
    </row>
    <row r="114" ht="15" customHeight="1" s="16">
      <c r="A114" s="28" t="n">
        <v>45403</v>
      </c>
      <c r="B114" s="15" t="n">
        <v>3</v>
      </c>
      <c r="C114" s="15" t="n">
        <v>0</v>
      </c>
      <c r="D114" s="15" t="n">
        <v>8</v>
      </c>
      <c r="E114" s="15" t="n">
        <v>0</v>
      </c>
      <c r="F114" s="15" t="n">
        <v>1</v>
      </c>
    </row>
    <row r="115" ht="15" customHeight="1" s="16">
      <c r="A115" s="28" t="n">
        <v>45404</v>
      </c>
      <c r="B115" s="15" t="n">
        <v>0</v>
      </c>
      <c r="C115" s="15" t="n">
        <v>18</v>
      </c>
      <c r="D115" s="15" t="n">
        <v>22</v>
      </c>
      <c r="E115" s="15" t="n">
        <v>5</v>
      </c>
      <c r="F115" s="15" t="n">
        <v>6</v>
      </c>
    </row>
    <row r="116" ht="15" customHeight="1" s="16">
      <c r="A116" s="28" t="n">
        <v>45405</v>
      </c>
      <c r="B116" s="15" t="n">
        <v>3</v>
      </c>
      <c r="C116" s="15" t="n">
        <v>16</v>
      </c>
      <c r="D116" s="15" t="n">
        <v>1</v>
      </c>
      <c r="E116" s="15" t="n">
        <v>7</v>
      </c>
      <c r="F116" s="15" t="n">
        <v>12</v>
      </c>
    </row>
    <row r="117" ht="15" customHeight="1" s="16">
      <c r="A117" s="28" t="n">
        <v>45406</v>
      </c>
      <c r="B117" s="15" t="n">
        <v>12</v>
      </c>
      <c r="C117" s="15" t="n">
        <v>16</v>
      </c>
      <c r="D117" s="15" t="n">
        <v>3</v>
      </c>
      <c r="E117" s="15" t="n">
        <v>3</v>
      </c>
      <c r="F117" s="15" t="n">
        <v>15</v>
      </c>
    </row>
    <row r="118" ht="15" customHeight="1" s="16">
      <c r="A118" s="28" t="n">
        <v>45407</v>
      </c>
      <c r="B118" s="15" t="n">
        <v>0</v>
      </c>
      <c r="C118" s="15" t="n">
        <v>21</v>
      </c>
      <c r="D118" s="15" t="n">
        <v>0</v>
      </c>
      <c r="E118" s="15" t="n">
        <v>4</v>
      </c>
      <c r="F118" s="15" t="n">
        <v>4</v>
      </c>
    </row>
    <row r="119" ht="15" customHeight="1" s="16">
      <c r="A119" s="28" t="n">
        <v>45408</v>
      </c>
      <c r="B119" s="15" t="n">
        <v>11</v>
      </c>
      <c r="C119" s="15" t="n">
        <v>15</v>
      </c>
      <c r="D119" s="15" t="n">
        <v>8</v>
      </c>
      <c r="E119" s="15" t="n">
        <v>10</v>
      </c>
      <c r="F119" s="15" t="n">
        <v>17</v>
      </c>
    </row>
    <row r="120" ht="15" customHeight="1" s="16">
      <c r="A120" s="28" t="n">
        <v>45409</v>
      </c>
      <c r="B120" s="15" t="n">
        <v>10</v>
      </c>
      <c r="C120" s="15" t="n">
        <v>16</v>
      </c>
      <c r="D120" s="15" t="n">
        <v>7</v>
      </c>
      <c r="E120" s="15" t="n">
        <v>4</v>
      </c>
      <c r="F120" s="15" t="n">
        <v>9</v>
      </c>
    </row>
    <row r="121" ht="15" customHeight="1" s="16">
      <c r="A121" s="28" t="n">
        <v>45410</v>
      </c>
      <c r="B121" s="15" t="n">
        <v>0</v>
      </c>
      <c r="C121" s="15" t="n">
        <v>10</v>
      </c>
      <c r="D121" s="15" t="n">
        <v>3</v>
      </c>
      <c r="E121" s="15" t="n">
        <v>1</v>
      </c>
      <c r="F121" s="15" t="n">
        <v>2</v>
      </c>
    </row>
    <row r="122" ht="15" customHeight="1" s="16">
      <c r="A122" s="28" t="n">
        <v>45411</v>
      </c>
      <c r="B122" s="15" t="n">
        <v>1</v>
      </c>
      <c r="C122" s="15" t="n">
        <v>14</v>
      </c>
      <c r="D122" s="15" t="n">
        <v>7</v>
      </c>
      <c r="E122" s="15" t="n">
        <v>0</v>
      </c>
      <c r="F122" s="15" t="n">
        <v>7</v>
      </c>
    </row>
    <row r="123" ht="15" customHeight="1" s="16">
      <c r="A123" s="28" t="n">
        <v>45412</v>
      </c>
      <c r="B123" s="15" t="n">
        <v>10</v>
      </c>
      <c r="C123" s="15" t="n">
        <v>8</v>
      </c>
      <c r="D123" s="15" t="n">
        <v>12</v>
      </c>
      <c r="E123" s="15" t="n">
        <v>8</v>
      </c>
      <c r="F123" s="15" t="n">
        <v>10</v>
      </c>
    </row>
    <row r="124" ht="15" customHeight="1" s="16">
      <c r="A124" s="28" t="n">
        <v>45413</v>
      </c>
      <c r="B124" s="15" t="n">
        <v>5</v>
      </c>
      <c r="C124" s="15" t="n">
        <v>11</v>
      </c>
      <c r="D124" s="15" t="n">
        <v>20</v>
      </c>
      <c r="E124" s="15" t="n">
        <v>0</v>
      </c>
      <c r="F124" s="15" t="n">
        <v>12</v>
      </c>
    </row>
    <row r="125" ht="15" customHeight="1" s="16">
      <c r="A125" s="28" t="n">
        <v>45414</v>
      </c>
      <c r="B125" s="15" t="n">
        <v>2</v>
      </c>
      <c r="C125" s="15" t="n">
        <v>14</v>
      </c>
      <c r="D125" s="15" t="n">
        <v>8</v>
      </c>
      <c r="E125" s="15" t="n">
        <v>8</v>
      </c>
      <c r="F125" s="15" t="n">
        <v>2</v>
      </c>
    </row>
    <row r="126" ht="15" customHeight="1" s="16">
      <c r="A126" s="28" t="n">
        <v>45415</v>
      </c>
      <c r="B126" s="15" t="n">
        <v>4</v>
      </c>
      <c r="C126" s="15" t="n">
        <v>13</v>
      </c>
      <c r="D126" s="15" t="n">
        <v>17</v>
      </c>
      <c r="E126" s="15" t="n">
        <v>6</v>
      </c>
      <c r="F126" s="15" t="n">
        <v>2</v>
      </c>
    </row>
    <row r="127" ht="15" customHeight="1" s="16">
      <c r="A127" s="28" t="n">
        <v>45416</v>
      </c>
      <c r="B127" s="15" t="n">
        <v>2</v>
      </c>
      <c r="C127" s="15" t="n">
        <v>18</v>
      </c>
      <c r="D127" s="15" t="n">
        <v>5</v>
      </c>
      <c r="E127" s="15" t="n">
        <v>7</v>
      </c>
      <c r="F127" s="15" t="n">
        <v>0</v>
      </c>
    </row>
    <row r="128" ht="15" customHeight="1" s="16">
      <c r="A128" s="28" t="n">
        <v>45417</v>
      </c>
      <c r="B128" s="15" t="n">
        <v>4</v>
      </c>
      <c r="C128" s="15" t="n">
        <v>6</v>
      </c>
      <c r="D128" s="15" t="n">
        <v>4</v>
      </c>
      <c r="E128" s="15" t="n">
        <v>0</v>
      </c>
      <c r="F128" s="15" t="n">
        <v>11</v>
      </c>
    </row>
    <row r="129" ht="15" customHeight="1" s="16">
      <c r="A129" s="28" t="n">
        <v>45418</v>
      </c>
      <c r="B129" s="15" t="n">
        <v>5</v>
      </c>
      <c r="C129" s="15" t="n">
        <v>6</v>
      </c>
      <c r="D129" s="15" t="n">
        <v>1</v>
      </c>
      <c r="E129" s="15" t="n">
        <v>6</v>
      </c>
      <c r="F129" s="15" t="n">
        <v>6</v>
      </c>
    </row>
    <row r="130" ht="15" customHeight="1" s="16">
      <c r="A130" s="28" t="n">
        <v>45419</v>
      </c>
      <c r="B130" s="15" t="n">
        <v>4</v>
      </c>
      <c r="C130" s="15" t="n">
        <v>5</v>
      </c>
      <c r="D130" s="15" t="n">
        <v>7</v>
      </c>
      <c r="E130" s="15" t="n">
        <v>7</v>
      </c>
      <c r="F130" s="15" t="n">
        <v>8</v>
      </c>
    </row>
    <row r="131" ht="15" customHeight="1" s="16">
      <c r="A131" s="28" t="n">
        <v>45420</v>
      </c>
      <c r="B131" s="15" t="n">
        <v>13</v>
      </c>
      <c r="C131" s="15" t="n">
        <v>13</v>
      </c>
      <c r="D131" s="15" t="n">
        <v>4</v>
      </c>
      <c r="E131" s="15" t="n">
        <v>26</v>
      </c>
      <c r="F131" s="15" t="n">
        <v>7</v>
      </c>
    </row>
    <row r="132" ht="15" customHeight="1" s="16">
      <c r="A132" s="28" t="n">
        <v>45421</v>
      </c>
      <c r="B132" s="15" t="n">
        <v>5</v>
      </c>
      <c r="C132" s="15" t="n">
        <v>6</v>
      </c>
      <c r="D132" s="15" t="n">
        <v>10</v>
      </c>
      <c r="E132" s="15" t="n">
        <v>8</v>
      </c>
      <c r="F132" s="15" t="n">
        <v>0</v>
      </c>
    </row>
    <row r="133" ht="15" customHeight="1" s="16">
      <c r="A133" s="28" t="n">
        <v>45422</v>
      </c>
      <c r="B133" s="15" t="n">
        <v>4</v>
      </c>
      <c r="C133" s="15" t="n">
        <v>2</v>
      </c>
      <c r="D133" s="15" t="n">
        <v>14</v>
      </c>
      <c r="E133" s="15" t="n">
        <v>10</v>
      </c>
      <c r="F133" s="15" t="n">
        <v>4</v>
      </c>
    </row>
    <row r="134" ht="15" customHeight="1" s="16">
      <c r="A134" s="28" t="n">
        <v>45423</v>
      </c>
      <c r="B134" s="15" t="n">
        <v>32</v>
      </c>
      <c r="C134" s="15" t="n">
        <v>8</v>
      </c>
      <c r="D134" s="15" t="n">
        <v>10</v>
      </c>
      <c r="E134" s="15" t="n">
        <v>1</v>
      </c>
      <c r="F134" s="15" t="n">
        <v>4</v>
      </c>
    </row>
    <row r="135" ht="15" customHeight="1" s="16">
      <c r="A135" s="28" t="n">
        <v>45424</v>
      </c>
      <c r="B135" s="15" t="n">
        <v>2</v>
      </c>
      <c r="C135" s="15" t="n">
        <v>2</v>
      </c>
      <c r="D135" s="15" t="n">
        <v>6</v>
      </c>
      <c r="E135" s="15" t="n">
        <v>3</v>
      </c>
      <c r="F135" s="15" t="n">
        <v>6</v>
      </c>
    </row>
    <row r="136" ht="15" customHeight="1" s="16">
      <c r="A136" s="28" t="n">
        <v>45425</v>
      </c>
      <c r="B136" s="15" t="n">
        <v>8</v>
      </c>
      <c r="C136" s="15" t="n">
        <v>5</v>
      </c>
      <c r="D136" s="15" t="n">
        <v>5</v>
      </c>
      <c r="E136" s="15" t="n">
        <v>7</v>
      </c>
      <c r="F136" s="15" t="n">
        <v>1</v>
      </c>
    </row>
    <row r="137" ht="15" customHeight="1" s="16">
      <c r="A137" s="28" t="n">
        <v>45426</v>
      </c>
      <c r="B137" s="15" t="n">
        <v>0</v>
      </c>
      <c r="C137" s="15" t="n">
        <v>18</v>
      </c>
      <c r="D137" s="15" t="n">
        <v>12</v>
      </c>
      <c r="E137" s="15" t="n">
        <v>12</v>
      </c>
      <c r="F137" s="15" t="n">
        <v>20</v>
      </c>
    </row>
    <row r="138" ht="15" customHeight="1" s="16">
      <c r="A138" s="28" t="n">
        <v>45427</v>
      </c>
      <c r="B138" s="15" t="n">
        <v>5</v>
      </c>
      <c r="C138" s="15" t="n">
        <v>3</v>
      </c>
      <c r="D138" s="15" t="n">
        <v>3</v>
      </c>
      <c r="E138" s="15" t="n">
        <v>1</v>
      </c>
      <c r="F138" s="15" t="n">
        <v>2</v>
      </c>
    </row>
    <row r="139" ht="15" customHeight="1" s="16">
      <c r="A139" s="28" t="n">
        <v>45428</v>
      </c>
      <c r="B139" s="15" t="n">
        <v>15</v>
      </c>
      <c r="C139" s="15" t="n">
        <v>11</v>
      </c>
      <c r="D139" s="15" t="n">
        <v>3</v>
      </c>
      <c r="E139" s="15" t="n">
        <v>13</v>
      </c>
      <c r="F139" s="15" t="n">
        <v>3</v>
      </c>
    </row>
    <row r="140" ht="15" customHeight="1" s="16">
      <c r="A140" s="28" t="n">
        <v>45429</v>
      </c>
      <c r="B140" s="15" t="n">
        <v>2</v>
      </c>
      <c r="C140" s="15" t="n">
        <v>3</v>
      </c>
      <c r="D140" s="15" t="n">
        <v>20</v>
      </c>
      <c r="E140" s="15" t="n">
        <v>3</v>
      </c>
      <c r="F140" s="15" t="n">
        <v>6</v>
      </c>
    </row>
    <row r="141" ht="15" customHeight="1" s="16">
      <c r="A141" s="28" t="n">
        <v>45430</v>
      </c>
      <c r="B141" s="15" t="n">
        <v>7</v>
      </c>
      <c r="C141" s="15" t="n">
        <v>3</v>
      </c>
      <c r="D141" s="15" t="n">
        <v>1</v>
      </c>
      <c r="E141" s="15" t="n">
        <v>0</v>
      </c>
      <c r="F141" s="15" t="n">
        <v>6</v>
      </c>
    </row>
    <row r="142" ht="15" customHeight="1" s="16">
      <c r="A142" s="28" t="n">
        <v>45431</v>
      </c>
      <c r="B142" s="15" t="n">
        <v>3</v>
      </c>
      <c r="C142" s="15" t="n">
        <v>4</v>
      </c>
      <c r="D142" s="15" t="n">
        <v>4</v>
      </c>
      <c r="E142" s="15" t="n">
        <v>1</v>
      </c>
      <c r="F142" s="15" t="n">
        <v>9</v>
      </c>
    </row>
    <row r="143" ht="15" customHeight="1" s="16">
      <c r="A143" s="28" t="n">
        <v>45432</v>
      </c>
      <c r="B143" s="15" t="n">
        <v>3</v>
      </c>
      <c r="C143" s="15" t="n">
        <v>3</v>
      </c>
      <c r="D143" s="15" t="n">
        <v>13</v>
      </c>
      <c r="E143" s="15" t="n">
        <v>11</v>
      </c>
      <c r="F143" s="15" t="n">
        <v>2</v>
      </c>
    </row>
    <row r="144" ht="15" customHeight="1" s="16">
      <c r="A144" s="28" t="n">
        <v>45433</v>
      </c>
      <c r="B144" s="15" t="n">
        <v>5</v>
      </c>
      <c r="C144" s="15" t="n">
        <v>1</v>
      </c>
      <c r="D144" s="15" t="n">
        <v>8</v>
      </c>
      <c r="E144" s="15" t="n">
        <v>4</v>
      </c>
      <c r="F144" s="15" t="n">
        <v>4</v>
      </c>
    </row>
    <row r="145" ht="15" customHeight="1" s="16">
      <c r="A145" s="28" t="n">
        <v>45434</v>
      </c>
      <c r="B145" s="15" t="n">
        <v>2</v>
      </c>
      <c r="C145" s="15" t="n">
        <v>10</v>
      </c>
      <c r="D145" s="15" t="n">
        <v>0</v>
      </c>
      <c r="E145" s="15" t="n">
        <v>2</v>
      </c>
      <c r="F145" s="15" t="n">
        <v>3</v>
      </c>
    </row>
    <row r="146" ht="15" customHeight="1" s="16">
      <c r="A146" s="28" t="n">
        <v>45435</v>
      </c>
      <c r="B146" s="15" t="n">
        <v>4</v>
      </c>
      <c r="C146" s="15" t="n">
        <v>13</v>
      </c>
      <c r="D146" s="15" t="n">
        <v>20</v>
      </c>
      <c r="E146" s="15" t="n">
        <v>13</v>
      </c>
      <c r="F146" s="15" t="n">
        <v>7</v>
      </c>
    </row>
    <row r="147" ht="15" customHeight="1" s="16">
      <c r="A147" s="28" t="n">
        <v>45436</v>
      </c>
      <c r="B147" s="15" t="n">
        <v>7</v>
      </c>
      <c r="C147" s="15" t="n">
        <v>8</v>
      </c>
      <c r="D147" s="15" t="n">
        <v>2</v>
      </c>
      <c r="E147" s="15" t="n">
        <v>5</v>
      </c>
      <c r="F147" s="15" t="n">
        <v>7</v>
      </c>
    </row>
    <row r="148" ht="15" customHeight="1" s="16">
      <c r="A148" s="28" t="n">
        <v>45437</v>
      </c>
      <c r="B148" s="15" t="n">
        <v>3</v>
      </c>
      <c r="C148" s="15" t="n">
        <v>6</v>
      </c>
      <c r="D148" s="15" t="n">
        <v>14</v>
      </c>
      <c r="E148" s="15" t="n">
        <v>11</v>
      </c>
      <c r="F148" s="15" t="n">
        <v>1</v>
      </c>
    </row>
    <row r="149" ht="15" customHeight="1" s="16">
      <c r="A149" s="28" t="n">
        <v>45438</v>
      </c>
      <c r="B149" s="15" t="n">
        <v>8</v>
      </c>
      <c r="C149" s="15" t="n">
        <v>0</v>
      </c>
      <c r="D149" s="15" t="n">
        <v>4</v>
      </c>
      <c r="E149" s="15" t="n">
        <v>0</v>
      </c>
      <c r="F149" s="15" t="n">
        <v>1</v>
      </c>
    </row>
    <row r="150" ht="15" customHeight="1" s="16">
      <c r="A150" s="28" t="n">
        <v>45439</v>
      </c>
      <c r="B150" s="15" t="n">
        <v>8</v>
      </c>
      <c r="C150" s="15" t="n">
        <v>9</v>
      </c>
      <c r="D150" s="15" t="n">
        <v>4</v>
      </c>
      <c r="E150" s="15" t="n">
        <v>10</v>
      </c>
      <c r="F150" s="15" t="n">
        <v>13</v>
      </c>
    </row>
    <row r="151" ht="15" customHeight="1" s="16">
      <c r="A151" s="28" t="n">
        <v>45440</v>
      </c>
      <c r="B151" s="15" t="n">
        <v>4</v>
      </c>
      <c r="C151" s="15" t="n">
        <v>0</v>
      </c>
      <c r="D151" s="15" t="n">
        <v>3</v>
      </c>
      <c r="E151" s="15" t="n">
        <v>6</v>
      </c>
      <c r="F151" s="15" t="n">
        <v>6</v>
      </c>
    </row>
    <row r="152" ht="15" customHeight="1" s="16">
      <c r="A152" s="28" t="n">
        <v>45441</v>
      </c>
      <c r="B152" s="15" t="n">
        <v>5</v>
      </c>
      <c r="C152" s="15" t="n">
        <v>16</v>
      </c>
      <c r="D152" s="15" t="n">
        <v>5</v>
      </c>
      <c r="E152" s="15" t="n">
        <v>4</v>
      </c>
      <c r="F152" s="15" t="n">
        <v>1</v>
      </c>
    </row>
    <row r="153" ht="15" customHeight="1" s="16">
      <c r="A153" s="28" t="n">
        <v>45442</v>
      </c>
      <c r="B153" s="15" t="n">
        <v>3</v>
      </c>
      <c r="C153" s="15" t="n">
        <v>2</v>
      </c>
      <c r="D153" s="15" t="n">
        <v>12</v>
      </c>
      <c r="E153" s="15" t="n">
        <v>9</v>
      </c>
      <c r="F153" s="15" t="n">
        <v>27</v>
      </c>
    </row>
    <row r="154" ht="15" customHeight="1" s="16">
      <c r="A154" s="28" t="n">
        <v>45443</v>
      </c>
      <c r="B154" s="15" t="n">
        <v>4</v>
      </c>
      <c r="C154" s="15" t="n">
        <v>4</v>
      </c>
      <c r="D154" s="15" t="n">
        <v>6</v>
      </c>
      <c r="E154" s="15" t="n">
        <v>17</v>
      </c>
      <c r="F154" s="15" t="n">
        <v>16</v>
      </c>
    </row>
    <row r="155" ht="15" customHeight="1" s="16">
      <c r="A155" s="28" t="n">
        <v>45444</v>
      </c>
      <c r="B155" s="15" t="n">
        <v>13</v>
      </c>
      <c r="C155" s="15" t="n">
        <v>2</v>
      </c>
      <c r="D155" s="15" t="n">
        <v>28</v>
      </c>
      <c r="E155" s="15" t="n">
        <v>22</v>
      </c>
      <c r="F155" s="15" t="n">
        <v>13</v>
      </c>
    </row>
    <row r="156" ht="15" customHeight="1" s="16">
      <c r="A156" s="28" t="n">
        <v>45445</v>
      </c>
      <c r="B156" s="15" t="n">
        <v>20</v>
      </c>
      <c r="C156" s="15" t="n">
        <v>0</v>
      </c>
      <c r="D156" s="15" t="n">
        <v>0</v>
      </c>
      <c r="E156" s="15" t="n">
        <v>6</v>
      </c>
      <c r="F156" s="15" t="n">
        <v>13</v>
      </c>
    </row>
    <row r="157" ht="15" customHeight="1" s="16">
      <c r="A157" s="28" t="n">
        <v>45446</v>
      </c>
      <c r="B157" s="15" t="n">
        <v>17</v>
      </c>
      <c r="C157" s="15" t="n">
        <v>5</v>
      </c>
      <c r="D157" s="15" t="n">
        <v>21</v>
      </c>
      <c r="E157" s="15" t="n">
        <v>15</v>
      </c>
      <c r="F157" s="15" t="n">
        <v>3</v>
      </c>
    </row>
    <row r="158" ht="15" customHeight="1" s="16">
      <c r="A158" s="28" t="n">
        <v>45447</v>
      </c>
      <c r="B158" s="15" t="n">
        <v>6</v>
      </c>
      <c r="C158" s="15" t="n">
        <v>8</v>
      </c>
      <c r="D158" s="15" t="n">
        <v>15</v>
      </c>
      <c r="E158" s="15" t="n">
        <v>17</v>
      </c>
      <c r="F158" s="15" t="n">
        <v>2</v>
      </c>
    </row>
    <row r="159" ht="15" customHeight="1" s="16">
      <c r="A159" s="28" t="n">
        <v>45448</v>
      </c>
      <c r="B159" s="15" t="n">
        <v>18</v>
      </c>
      <c r="C159" s="15" t="n">
        <v>3</v>
      </c>
      <c r="D159" s="15" t="n">
        <v>1</v>
      </c>
      <c r="E159" s="15" t="n">
        <v>6</v>
      </c>
      <c r="F159" s="15" t="n">
        <v>8</v>
      </c>
    </row>
    <row r="160" ht="15" customHeight="1" s="16">
      <c r="A160" s="28" t="n">
        <v>45449</v>
      </c>
      <c r="B160" s="15" t="n">
        <v>10</v>
      </c>
      <c r="C160" s="15" t="n">
        <v>4</v>
      </c>
      <c r="D160" s="15" t="n">
        <v>9</v>
      </c>
      <c r="E160" s="15" t="n">
        <v>10</v>
      </c>
      <c r="F160" s="15" t="n">
        <v>0</v>
      </c>
    </row>
    <row r="161" ht="15" customHeight="1" s="16">
      <c r="A161" s="28" t="n">
        <v>45450</v>
      </c>
      <c r="B161" s="15" t="n">
        <v>6</v>
      </c>
      <c r="C161" s="15" t="n">
        <v>4</v>
      </c>
      <c r="D161" s="15" t="n">
        <v>22</v>
      </c>
      <c r="E161" s="15" t="n">
        <v>6</v>
      </c>
      <c r="F161" s="15" t="n">
        <v>3</v>
      </c>
    </row>
    <row r="162" ht="15" customHeight="1" s="16">
      <c r="A162" s="28" t="n">
        <v>45451</v>
      </c>
      <c r="B162" s="15" t="n">
        <v>3</v>
      </c>
      <c r="C162" s="15" t="n">
        <v>5</v>
      </c>
      <c r="D162" s="15" t="n">
        <v>9</v>
      </c>
      <c r="E162" s="15" t="n">
        <v>1</v>
      </c>
      <c r="F162" s="15" t="n">
        <v>4</v>
      </c>
    </row>
    <row r="163" ht="15" customHeight="1" s="16">
      <c r="A163" s="28" t="n">
        <v>45452</v>
      </c>
      <c r="B163" s="15" t="n">
        <v>6</v>
      </c>
      <c r="C163" s="15" t="n">
        <v>0</v>
      </c>
      <c r="D163" s="15" t="n">
        <v>1</v>
      </c>
      <c r="E163" s="15" t="n">
        <v>9</v>
      </c>
      <c r="F163" s="15" t="n">
        <v>3</v>
      </c>
    </row>
    <row r="164" ht="15" customHeight="1" s="16">
      <c r="A164" s="28" t="n">
        <v>45453</v>
      </c>
      <c r="B164" s="15" t="n">
        <v>1</v>
      </c>
      <c r="C164" s="15" t="n">
        <v>7</v>
      </c>
      <c r="D164" s="15" t="n">
        <v>7</v>
      </c>
      <c r="E164" s="15" t="n">
        <v>1</v>
      </c>
      <c r="F164" s="15" t="n">
        <v>13</v>
      </c>
    </row>
    <row r="165" ht="15" customHeight="1" s="16">
      <c r="A165" s="28" t="n">
        <v>45454</v>
      </c>
      <c r="B165" s="15" t="n">
        <v>5</v>
      </c>
      <c r="C165" s="15" t="n">
        <v>7</v>
      </c>
      <c r="D165" s="15" t="n">
        <v>14</v>
      </c>
      <c r="E165" s="15" t="n">
        <v>28</v>
      </c>
      <c r="F165" s="15" t="n">
        <v>5</v>
      </c>
    </row>
    <row r="166" ht="15" customHeight="1" s="16">
      <c r="A166" s="28" t="n">
        <v>45455</v>
      </c>
      <c r="B166" s="15" t="n">
        <v>20</v>
      </c>
      <c r="C166" s="15" t="n">
        <v>2</v>
      </c>
      <c r="D166" s="15" t="n">
        <v>14</v>
      </c>
      <c r="E166" s="15" t="n">
        <v>14</v>
      </c>
      <c r="F166" s="15" t="n">
        <v>1</v>
      </c>
    </row>
    <row r="167" ht="15" customHeight="1" s="16">
      <c r="A167" s="28" t="n">
        <v>45456</v>
      </c>
      <c r="B167" s="15" t="n">
        <v>1</v>
      </c>
      <c r="C167" s="15" t="n">
        <v>2</v>
      </c>
      <c r="D167" s="15" t="n">
        <v>11</v>
      </c>
      <c r="E167" s="15" t="n">
        <v>6</v>
      </c>
      <c r="F167" s="15" t="n">
        <v>6</v>
      </c>
    </row>
    <row r="168" ht="15" customHeight="1" s="16">
      <c r="A168" s="28" t="n">
        <v>45457</v>
      </c>
      <c r="B168" s="15" t="n">
        <v>25</v>
      </c>
      <c r="C168" s="15" t="n">
        <v>3</v>
      </c>
      <c r="D168" s="15" t="n">
        <v>11</v>
      </c>
      <c r="E168" s="15" t="n">
        <v>8</v>
      </c>
      <c r="F168" s="15" t="n">
        <v>2</v>
      </c>
    </row>
    <row r="169" ht="15" customHeight="1" s="16">
      <c r="A169" s="28" t="n">
        <v>45458</v>
      </c>
      <c r="B169" s="15" t="n">
        <v>3</v>
      </c>
      <c r="C169" s="15" t="n">
        <v>4</v>
      </c>
      <c r="D169" s="15" t="n">
        <v>11</v>
      </c>
      <c r="E169" s="15" t="n">
        <v>4</v>
      </c>
      <c r="F169" s="15" t="n">
        <v>4</v>
      </c>
    </row>
    <row r="170" ht="15" customHeight="1" s="16">
      <c r="A170" s="28" t="n">
        <v>45459</v>
      </c>
      <c r="B170" s="15" t="n">
        <v>1</v>
      </c>
      <c r="C170" s="15" t="n">
        <v>10</v>
      </c>
      <c r="D170" s="15" t="n">
        <v>1</v>
      </c>
      <c r="E170" s="15" t="n">
        <v>6</v>
      </c>
      <c r="F170" s="15" t="n">
        <v>5</v>
      </c>
    </row>
    <row r="171" ht="15" customHeight="1" s="16">
      <c r="A171" s="28" t="n">
        <v>45460</v>
      </c>
      <c r="B171" s="15" t="n">
        <v>8</v>
      </c>
      <c r="C171" s="15" t="n">
        <v>6</v>
      </c>
      <c r="D171" s="15" t="n">
        <v>18</v>
      </c>
      <c r="E171" s="15" t="n">
        <v>16</v>
      </c>
      <c r="F171" s="15" t="n">
        <v>6</v>
      </c>
    </row>
    <row r="172" ht="15" customHeight="1" s="16">
      <c r="A172" s="28" t="n">
        <v>45461</v>
      </c>
      <c r="B172" s="15" t="n">
        <v>7</v>
      </c>
      <c r="C172" s="15" t="n">
        <v>11</v>
      </c>
      <c r="D172" s="15" t="n">
        <v>16</v>
      </c>
      <c r="E172" s="15" t="n">
        <v>8</v>
      </c>
      <c r="F172" s="15" t="n">
        <v>8</v>
      </c>
    </row>
    <row r="173" ht="15" customHeight="1" s="16">
      <c r="A173" s="28" t="n">
        <v>45462</v>
      </c>
      <c r="B173" s="15" t="n">
        <v>6</v>
      </c>
      <c r="C173" s="15" t="n">
        <v>13</v>
      </c>
      <c r="D173" s="15" t="n">
        <v>15</v>
      </c>
      <c r="E173" s="15" t="n">
        <v>3</v>
      </c>
      <c r="F173" s="15" t="n">
        <v>4</v>
      </c>
    </row>
    <row r="174" ht="15" customHeight="1" s="16">
      <c r="A174" s="28" t="n">
        <v>45463</v>
      </c>
      <c r="B174" s="15" t="n">
        <v>17</v>
      </c>
      <c r="C174" s="15" t="n">
        <v>10</v>
      </c>
      <c r="D174" s="15" t="n">
        <v>14</v>
      </c>
      <c r="E174" s="15" t="n">
        <v>15</v>
      </c>
      <c r="F174" s="15" t="n">
        <v>13</v>
      </c>
    </row>
    <row r="175" ht="15" customHeight="1" s="16">
      <c r="A175" s="28" t="n">
        <v>45464</v>
      </c>
      <c r="B175" s="15" t="n">
        <v>9</v>
      </c>
      <c r="C175" s="15" t="n">
        <v>1</v>
      </c>
      <c r="D175" s="15" t="n">
        <v>0</v>
      </c>
      <c r="E175" s="15" t="n">
        <v>24</v>
      </c>
      <c r="F175" s="15" t="n">
        <v>0</v>
      </c>
    </row>
    <row r="176" ht="15" customHeight="1" s="16">
      <c r="A176" s="28" t="n">
        <v>45465</v>
      </c>
      <c r="B176" s="15" t="n">
        <v>5</v>
      </c>
      <c r="C176" s="15" t="n">
        <v>1</v>
      </c>
      <c r="D176" s="15" t="n">
        <v>26</v>
      </c>
      <c r="E176" s="15" t="n">
        <v>6</v>
      </c>
      <c r="F176" s="15" t="n">
        <v>4</v>
      </c>
    </row>
    <row r="177" ht="15" customHeight="1" s="16">
      <c r="A177" s="28" t="n">
        <v>45466</v>
      </c>
      <c r="B177" s="15" t="n">
        <v>4</v>
      </c>
      <c r="C177" s="15" t="n">
        <v>5</v>
      </c>
      <c r="D177" s="15" t="n">
        <v>14</v>
      </c>
      <c r="E177" s="15" t="n">
        <v>2</v>
      </c>
      <c r="F177" s="15" t="n">
        <v>6</v>
      </c>
    </row>
    <row r="178" ht="15" customHeight="1" s="16">
      <c r="A178" s="28" t="n">
        <v>45467</v>
      </c>
      <c r="B178" s="15" t="n">
        <v>6</v>
      </c>
      <c r="C178" s="15" t="n">
        <v>10</v>
      </c>
      <c r="D178" s="15" t="n">
        <v>6</v>
      </c>
      <c r="E178" s="15" t="n">
        <v>16</v>
      </c>
      <c r="F178" s="15" t="n">
        <v>9</v>
      </c>
    </row>
    <row r="179" ht="15" customHeight="1" s="16">
      <c r="A179" s="28" t="n">
        <v>45468</v>
      </c>
      <c r="B179" s="15" t="n">
        <v>1</v>
      </c>
      <c r="C179" s="15" t="n">
        <v>5</v>
      </c>
      <c r="D179" s="15" t="n">
        <v>5</v>
      </c>
      <c r="E179" s="15" t="n">
        <v>10</v>
      </c>
      <c r="F179" s="15" t="n">
        <v>14</v>
      </c>
    </row>
    <row r="180" ht="15" customHeight="1" s="16">
      <c r="A180" s="28" t="n">
        <v>45469</v>
      </c>
      <c r="B180" s="15" t="n">
        <v>1</v>
      </c>
      <c r="C180" s="15" t="n">
        <v>2</v>
      </c>
      <c r="D180" s="15" t="n">
        <v>2</v>
      </c>
      <c r="E180" s="15" t="n">
        <v>9</v>
      </c>
      <c r="F180" s="15" t="n">
        <v>3</v>
      </c>
    </row>
    <row r="181" ht="15" customHeight="1" s="16">
      <c r="A181" s="28" t="n">
        <v>45470</v>
      </c>
      <c r="B181" s="15" t="n">
        <v>10</v>
      </c>
      <c r="C181" s="15" t="n">
        <v>7</v>
      </c>
      <c r="D181" s="15" t="n">
        <v>3</v>
      </c>
      <c r="E181" s="15" t="n">
        <v>8</v>
      </c>
      <c r="F181" s="15" t="n">
        <v>6</v>
      </c>
    </row>
    <row r="182" ht="15" customHeight="1" s="16">
      <c r="A182" s="28" t="n">
        <v>45471</v>
      </c>
      <c r="B182" s="15" t="n">
        <v>10</v>
      </c>
      <c r="C182" s="15" t="n">
        <v>3</v>
      </c>
      <c r="D182" s="15" t="n">
        <v>3</v>
      </c>
      <c r="E182" s="15" t="n">
        <v>8</v>
      </c>
      <c r="F182" s="15" t="n">
        <v>0</v>
      </c>
    </row>
    <row r="183" ht="15" customHeight="1" s="16">
      <c r="A183" s="28" t="n">
        <v>45472</v>
      </c>
      <c r="B183" s="15" t="n">
        <v>14</v>
      </c>
      <c r="C183" s="15" t="n">
        <v>2</v>
      </c>
      <c r="D183" s="15" t="n">
        <v>8</v>
      </c>
      <c r="E183" s="15" t="n">
        <v>21</v>
      </c>
      <c r="F183" s="15" t="n">
        <v>4</v>
      </c>
    </row>
    <row r="184" ht="15" customHeight="1" s="16">
      <c r="A184" s="28" t="n">
        <v>45473</v>
      </c>
      <c r="B184" s="15" t="n">
        <v>1</v>
      </c>
      <c r="C184" s="15" t="n">
        <v>2</v>
      </c>
      <c r="D184" s="15" t="n">
        <v>7</v>
      </c>
      <c r="E184" s="15" t="n">
        <v>4</v>
      </c>
      <c r="F184" s="15" t="n">
        <v>11</v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2026-09-01T17:05:31Z</dcterms:created>
  <dcterms:modified xmlns:dcterms="http://purl.org/dc/terms/" xmlns:xsi="http://www.w3.org/2001/XMLSchema-instance" xsi:type="dcterms:W3CDTF">2026-10-10T10:18:07Z</dcterms:modified>
  <cp:revision>5</cp:revision>
</cp:coreProperties>
</file>